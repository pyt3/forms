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hub\forms-1\sdsForms\"/>
    </mc:Choice>
  </mc:AlternateContent>
  <xr:revisionPtr revIDLastSave="0" documentId="13_ncr:1_{F20E25B9-FDD9-46DE-A39E-6CACBC435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วมทุกแผนก" sheetId="1" r:id="rId1"/>
    <sheet name="รายการสาร" sheetId="2" r:id="rId2"/>
    <sheet name="สรุปการประมวลผล" sheetId="4" state="hidden" r:id="rId3"/>
  </sheets>
  <definedNames>
    <definedName name="_xlnm._FilterDatabase" localSheetId="0" hidden="1">รวมทุกแผนก!$A$1:$W$662</definedName>
    <definedName name="_xlnm._FilterDatabase" localSheetId="1" hidden="1">รายการสาร!$A$1:$C$338</definedName>
    <definedName name="_xlnm._FilterDatabase" localSheetId="2" hidden="1">สรุปการประมวลผล!$A$1:$C$73</definedName>
  </definedNames>
  <calcPr calcId="191029"/>
</workbook>
</file>

<file path=xl/calcChain.xml><?xml version="1.0" encoding="utf-8"?>
<calcChain xmlns="http://schemas.openxmlformats.org/spreadsheetml/2006/main">
  <c r="D662" i="1" l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<sst xmlns="http://schemas.openxmlformats.org/spreadsheetml/2006/main" count="5904" uniqueCount="1280">
  <si>
    <t>รหัส SDS</t>
  </si>
  <si>
    <t>ชื่อผลิตภัณฑ์/สารเคมี</t>
  </si>
  <si>
    <t>Trade Name</t>
  </si>
  <si>
    <t>สารออกซิไดซ์</t>
  </si>
  <si>
    <t>สารไวไฟ</t>
  </si>
  <si>
    <t>วัตถุระเบิด</t>
  </si>
  <si>
    <t>วัตถุมีพิษ</t>
  </si>
  <si>
    <t>สารกัดกร่อน</t>
  </si>
  <si>
    <t>แก๊ส</t>
  </si>
  <si>
    <t>อันตรายต่อสุขภาพ</t>
  </si>
  <si>
    <t>อันตรายต่อสิ่งแวดล้อม</t>
  </si>
  <si>
    <t>วัตถุระคายเคือง</t>
  </si>
  <si>
    <t>ประเภทอื่น ๆ</t>
  </si>
  <si>
    <t>สวมถุงมือ</t>
  </si>
  <si>
    <t>สวมหน้ากาก</t>
  </si>
  <si>
    <t>สวมแว่นตา</t>
  </si>
  <si>
    <t>สวมเสื้อกันสารเคมี</t>
  </si>
  <si>
    <t>รองเท้าบู๊ท</t>
  </si>
  <si>
    <t>ต้องประกาศ Code 1</t>
  </si>
  <si>
    <t>สารเคมีไวไฟในแผนก</t>
  </si>
  <si>
    <t>SDS-00003</t>
  </si>
  <si>
    <t>คิมแคร์สบู่เหลวล้างมือ</t>
  </si>
  <si>
    <t>Kimcare</t>
  </si>
  <si>
    <t>✓</t>
  </si>
  <si>
    <t>คลินิกผู้ป่วยในw9</t>
  </si>
  <si>
    <t>ศุนย์กล้ามเนื้อกระดูกและข้อ(stock เดียวกับ surg)</t>
  </si>
  <si>
    <t>SDS-00006</t>
  </si>
  <si>
    <t>70% alcohol</t>
  </si>
  <si>
    <t>Preservative solution 70%</t>
  </si>
  <si>
    <t>คลินิกผู้ป่วยใน w7</t>
  </si>
  <si>
    <t>SDS-00007</t>
  </si>
  <si>
    <t>Ammonia</t>
  </si>
  <si>
    <t>SDS-00010</t>
  </si>
  <si>
    <t>Gel ล้างมือติดผนัง</t>
  </si>
  <si>
    <t>Purell</t>
  </si>
  <si>
    <t>SDS-00011</t>
  </si>
  <si>
    <t>Alcohol Gel</t>
  </si>
  <si>
    <t>Clear Hand Gel</t>
  </si>
  <si>
    <t>คลินิกศูนย์ความงาม</t>
  </si>
  <si>
    <t>คลินิกห้องผ่าตัด</t>
  </si>
  <si>
    <t>SDS-00012</t>
  </si>
  <si>
    <t>Betadine</t>
  </si>
  <si>
    <t>SDS-00013</t>
  </si>
  <si>
    <t>CHLORHEXIDINE SCRUB 4%</t>
  </si>
  <si>
    <t>Hexene</t>
  </si>
  <si>
    <t>SDS-00017</t>
  </si>
  <si>
    <t>Alcohol Pad</t>
  </si>
  <si>
    <t>Neoplast</t>
  </si>
  <si>
    <t>SDS-00027</t>
  </si>
  <si>
    <t>N-Alkyl Dimethylbenzene Ammonium chloride, Tetrasodium Salt of EDTA, Didecyl Dimethyl Ammonium chloride</t>
  </si>
  <si>
    <t>Virex II 256 (ไวเร็กซ์ II 256)</t>
  </si>
  <si>
    <t>Lab</t>
  </si>
  <si>
    <t>แม่บ้าน</t>
  </si>
  <si>
    <t>SDS-00053</t>
  </si>
  <si>
    <t>Distillates (petroleum), hydrotreated light</t>
  </si>
  <si>
    <t>Suma Inox</t>
  </si>
  <si>
    <t>ฟู้ดเฮ้าส์</t>
  </si>
  <si>
    <t>SDS-00059</t>
  </si>
  <si>
    <t>Q-bac4 soap liquid</t>
  </si>
  <si>
    <t>Q-bac4</t>
  </si>
  <si>
    <t>SDS-00065</t>
  </si>
  <si>
    <t>GER-MA-WAY Disinfectant</t>
  </si>
  <si>
    <t>LR</t>
  </si>
  <si>
    <t>SDS-00071</t>
  </si>
  <si>
    <t>CaviWipes</t>
  </si>
  <si>
    <t>nsy</t>
  </si>
  <si>
    <t>แผนกพัสดุ</t>
  </si>
  <si>
    <t>SDS-00075</t>
  </si>
  <si>
    <t>น้ำยาเช็ดตัวคนไข้</t>
  </si>
  <si>
    <t>Dermalux soft towel lotion</t>
  </si>
  <si>
    <t>SDS-00078</t>
  </si>
  <si>
    <t>70% Alcohol</t>
  </si>
  <si>
    <t>ART LAB</t>
  </si>
  <si>
    <t>SDS-00079</t>
  </si>
  <si>
    <t>chlorhexidine 2% in 70% alcohol</t>
  </si>
  <si>
    <t>Prepskin-C</t>
  </si>
  <si>
    <t>Ward 17</t>
  </si>
  <si>
    <t>SDS-00082</t>
  </si>
  <si>
    <t>Chlorhexidine scrub 4 %</t>
  </si>
  <si>
    <t>คลินิกผูป่วยนอกศูนย์สุขภาพเด็ก</t>
  </si>
  <si>
    <t>SDS-00095</t>
  </si>
  <si>
    <t>Hydrogen peroxide</t>
  </si>
  <si>
    <t>SDS-00097</t>
  </si>
  <si>
    <t>Acetone</t>
  </si>
  <si>
    <t>Dental</t>
  </si>
  <si>
    <t>SDS-00115</t>
  </si>
  <si>
    <t>Oxygen</t>
  </si>
  <si>
    <t>Observe &amp;คลินิกมะเร็ง</t>
  </si>
  <si>
    <t>คลินิกผู้ป่วยวิกฤต</t>
  </si>
  <si>
    <t>คลินิกศูนย์ระบบทางเดินอาหาร</t>
  </si>
  <si>
    <t>รับส่ง</t>
  </si>
  <si>
    <t>SDS-00160</t>
  </si>
  <si>
    <t>Caviwipe</t>
  </si>
  <si>
    <t>คัดกรองผู้ป่วย</t>
  </si>
  <si>
    <t>SDS-00202</t>
  </si>
  <si>
    <t>ALCOHOL HAND GEL (4 OZ with Pump).</t>
  </si>
  <si>
    <t>คลังยา</t>
  </si>
  <si>
    <t>SDS-00265</t>
  </si>
  <si>
    <t>Betadine solution 500 ml</t>
  </si>
  <si>
    <t>povidone iodine</t>
  </si>
  <si>
    <t>เภสัชกรรม</t>
  </si>
  <si>
    <t>SDS-00267</t>
  </si>
  <si>
    <t>Betadine scrub 500 ml</t>
  </si>
  <si>
    <t>แผนก</t>
  </si>
  <si>
    <t>ปริมาณสูงสุดที่มี</t>
  </si>
  <si>
    <t>พื้นที่/หน่วยงานที่จัดเก็บ</t>
  </si>
  <si>
    <t>ศูนย์ทางเดินปัสสาวะ</t>
  </si>
  <si>
    <t>SDS-00001</t>
  </si>
  <si>
    <t>2X5L</t>
  </si>
  <si>
    <t>ตู้ไม้</t>
  </si>
  <si>
    <t>SDS-00002</t>
  </si>
  <si>
    <t>500 ml</t>
  </si>
  <si>
    <t>ห้องตรวจ</t>
  </si>
  <si>
    <t>SDS-00004</t>
  </si>
  <si>
    <t>1X120 ml</t>
  </si>
  <si>
    <t>SDS-00005</t>
  </si>
  <si>
    <t>1X500ml</t>
  </si>
  <si>
    <t>ติดผนัง</t>
  </si>
  <si>
    <t>6X 60 ml</t>
  </si>
  <si>
    <t>ตู้เก็บน้ำยา</t>
  </si>
  <si>
    <t>คลินิกหู คอ จมูก</t>
  </si>
  <si>
    <t>3X30 ml</t>
  </si>
  <si>
    <t>ตู้เก็บสารเคมี</t>
  </si>
  <si>
    <t>3x60 ml</t>
  </si>
  <si>
    <t>SDS-00008</t>
  </si>
  <si>
    <t>3X5000 ml</t>
  </si>
  <si>
    <t>SDS-00009</t>
  </si>
  <si>
    <t>1x400 ml</t>
  </si>
  <si>
    <t>1000 ml</t>
  </si>
  <si>
    <t>ผนัง</t>
  </si>
  <si>
    <t>6x120 mll</t>
  </si>
  <si>
    <t>3x30 mll</t>
  </si>
  <si>
    <t>3x100 ml</t>
  </si>
  <si>
    <t>SDS-00014</t>
  </si>
  <si>
    <t>3X60 ml</t>
  </si>
  <si>
    <t>SDS-00015</t>
  </si>
  <si>
    <t>4X450 ml</t>
  </si>
  <si>
    <t>SDS-00016</t>
  </si>
  <si>
    <t>3 x 120 ml</t>
  </si>
  <si>
    <t>4 กล่อง</t>
  </si>
  <si>
    <t>SDS-00018</t>
  </si>
  <si>
    <t>6 x 5 l</t>
  </si>
  <si>
    <t>คลังแม่บ้าน</t>
  </si>
  <si>
    <t>SDS-00019</t>
  </si>
  <si>
    <t>2.5 l</t>
  </si>
  <si>
    <t>SDS-00020</t>
  </si>
  <si>
    <t>8X19L</t>
  </si>
  <si>
    <t>SDS-00021</t>
  </si>
  <si>
    <t>5L</t>
  </si>
  <si>
    <t>SDS-00022</t>
  </si>
  <si>
    <t>4L</t>
  </si>
  <si>
    <t>SDS-00023</t>
  </si>
  <si>
    <t>SDS-00024</t>
  </si>
  <si>
    <t>6 x 20 l</t>
  </si>
  <si>
    <t>SDS-00025</t>
  </si>
  <si>
    <t>4X5L</t>
  </si>
  <si>
    <t>SDS-00026</t>
  </si>
  <si>
    <t>2.5L</t>
  </si>
  <si>
    <t>SDS-00028</t>
  </si>
  <si>
    <t>SDS-00029</t>
  </si>
  <si>
    <t>25 kg</t>
  </si>
  <si>
    <t>SDS-00030</t>
  </si>
  <si>
    <t>SDS-00031</t>
  </si>
  <si>
    <t>SDS-00032</t>
  </si>
  <si>
    <t>SDS-00033</t>
  </si>
  <si>
    <t>12 ขวด</t>
  </si>
  <si>
    <t>SDS-00034</t>
  </si>
  <si>
    <t>20 X 190g</t>
  </si>
  <si>
    <t>SDS-00035</t>
  </si>
  <si>
    <t>SDS-00036</t>
  </si>
  <si>
    <t>SDS-00037</t>
  </si>
  <si>
    <t>120X 500 ml</t>
  </si>
  <si>
    <t>SDS-00038</t>
  </si>
  <si>
    <t>3X12 กรป๋อง</t>
  </si>
  <si>
    <t>SDS-00039</t>
  </si>
  <si>
    <t>6X3.6L</t>
  </si>
  <si>
    <t>SDS-00040</t>
  </si>
  <si>
    <t>6 ขวด</t>
  </si>
  <si>
    <t>SDS-00041</t>
  </si>
  <si>
    <t>3X100 ซอง</t>
  </si>
  <si>
    <t>SDS-00042</t>
  </si>
  <si>
    <t>70 x 1000 ml</t>
  </si>
  <si>
    <t>SDS-00043</t>
  </si>
  <si>
    <t>SDS-00044</t>
  </si>
  <si>
    <t>SDS-00045</t>
  </si>
  <si>
    <t>3X800ml</t>
  </si>
  <si>
    <t>SDS-00046</t>
  </si>
  <si>
    <t>60 l</t>
  </si>
  <si>
    <t>FH</t>
  </si>
  <si>
    <t>SDS-00047</t>
  </si>
  <si>
    <t>60L</t>
  </si>
  <si>
    <t>SDS-00048</t>
  </si>
  <si>
    <t>80L</t>
  </si>
  <si>
    <t>SDS-00049</t>
  </si>
  <si>
    <t>20L</t>
  </si>
  <si>
    <t>SDS-00050</t>
  </si>
  <si>
    <t>SDS-00051</t>
  </si>
  <si>
    <t>SDS-00052</t>
  </si>
  <si>
    <t>SDS-00054</t>
  </si>
  <si>
    <t>SDS-00055</t>
  </si>
  <si>
    <t>1X5L</t>
  </si>
  <si>
    <t>SDS-00056</t>
  </si>
  <si>
    <t>SDS-00057</t>
  </si>
  <si>
    <t>1X1 kg</t>
  </si>
  <si>
    <t>SDS-00058</t>
  </si>
  <si>
    <t>CSSD</t>
  </si>
  <si>
    <t>6 bot</t>
  </si>
  <si>
    <t>ห้องเตรียม / ห้องสต๊อค</t>
  </si>
  <si>
    <t>SDS-00060</t>
  </si>
  <si>
    <t>1X550 ml</t>
  </si>
  <si>
    <t>ห้องเบรค</t>
  </si>
  <si>
    <t>SDS-00061</t>
  </si>
  <si>
    <t>1 bot</t>
  </si>
  <si>
    <t>ห้องเตรียม</t>
  </si>
  <si>
    <t>SDS-00062</t>
  </si>
  <si>
    <t>ห้องสต๊อค</t>
  </si>
  <si>
    <t>SDS-00063</t>
  </si>
  <si>
    <t>SDS-00064</t>
  </si>
  <si>
    <t>4 bot</t>
  </si>
  <si>
    <t>1 กระป๋อง</t>
  </si>
  <si>
    <t>SDS-00066</t>
  </si>
  <si>
    <t>30 box</t>
  </si>
  <si>
    <t>ห้องล้าง</t>
  </si>
  <si>
    <t>SDS-00067</t>
  </si>
  <si>
    <t>6X3.8 l</t>
  </si>
  <si>
    <t>SDS-00068</t>
  </si>
  <si>
    <t>SDS-00069</t>
  </si>
  <si>
    <t>2x30 ml</t>
  </si>
  <si>
    <t>SDS-00070</t>
  </si>
  <si>
    <t>2x500 ml</t>
  </si>
  <si>
    <t>3x120 ml,2x300 ml</t>
  </si>
  <si>
    <t>3 กระป๋อง</t>
  </si>
  <si>
    <t>1x30 ml</t>
  </si>
  <si>
    <t>3 x 1000 ml,1 x 1,200 ml</t>
  </si>
  <si>
    <t>SDS-00072</t>
  </si>
  <si>
    <t>1X500 ml,1 X3.6 ลิตร</t>
  </si>
  <si>
    <t>ตู้เก็บของ</t>
  </si>
  <si>
    <t>SDS-00073</t>
  </si>
  <si>
    <t>1X500 ml,1X1,000 ml</t>
  </si>
  <si>
    <t>1x1,000 ml</t>
  </si>
  <si>
    <t>คลินิกผู้ป่วยในหัวใจ w8</t>
  </si>
  <si>
    <t>10x30 ml</t>
  </si>
  <si>
    <t>SDS-00074</t>
  </si>
  <si>
    <t>3X120 ml</t>
  </si>
  <si>
    <t>3 กล่อง</t>
  </si>
  <si>
    <t>9x120 ml</t>
  </si>
  <si>
    <t>3 x 1000 ml</t>
  </si>
  <si>
    <t>5x60 ml</t>
  </si>
  <si>
    <t>4x30 ml</t>
  </si>
  <si>
    <t>3x60 mll</t>
  </si>
  <si>
    <t>1X500 ml</t>
  </si>
  <si>
    <t>1X1000 ml</t>
  </si>
  <si>
    <t>ห้องแม่บ้าน</t>
  </si>
  <si>
    <t>3x500 ml</t>
  </si>
  <si>
    <t>3x30 ml</t>
  </si>
  <si>
    <t>5x120 ml</t>
  </si>
  <si>
    <t>1x500 ml</t>
  </si>
  <si>
    <t>ward 10</t>
  </si>
  <si>
    <t>1 กล่อง</t>
  </si>
  <si>
    <t>SDS-00076</t>
  </si>
  <si>
    <t>SDS-00077</t>
  </si>
  <si>
    <t>7x60 ml</t>
  </si>
  <si>
    <t>1x1000 ml</t>
  </si>
  <si>
    <t>5 ขวด</t>
  </si>
  <si>
    <t>5x100 ml</t>
  </si>
  <si>
    <t>3x400 ml</t>
  </si>
  <si>
    <t>3x120 ml</t>
  </si>
  <si>
    <t>แผนกผู้ป่วยในศูนย์สุขภาพเด็กw11</t>
  </si>
  <si>
    <t>30 x 1000 ml</t>
  </si>
  <si>
    <t>แผนกผู้ป่วยในศูนย์สุขภาพเด็กw12</t>
  </si>
  <si>
    <t>4กล่อง</t>
  </si>
  <si>
    <t>ward 15</t>
  </si>
  <si>
    <t>5X30 ml</t>
  </si>
  <si>
    <t>SDS-00080</t>
  </si>
  <si>
    <t>5X60 ml</t>
  </si>
  <si>
    <t>2 กล่อง</t>
  </si>
  <si>
    <t>SDS-00081</t>
  </si>
  <si>
    <t>6 X120 ml</t>
  </si>
  <si>
    <t>5 X60 ml</t>
  </si>
  <si>
    <t>2x400 ml</t>
  </si>
  <si>
    <t>2x120 ml</t>
  </si>
  <si>
    <t>ไตเทียม</t>
  </si>
  <si>
    <t>12x450 ml</t>
  </si>
  <si>
    <t>SDS-00083</t>
  </si>
  <si>
    <t>12x250 ml</t>
  </si>
  <si>
    <t>SDS-00084</t>
  </si>
  <si>
    <t>4x5000 ml</t>
  </si>
  <si>
    <t>ชั้นวางสารเคมี</t>
  </si>
  <si>
    <t>SDS-00085</t>
  </si>
  <si>
    <t>3x5000 ml</t>
  </si>
  <si>
    <t>SDS-00086</t>
  </si>
  <si>
    <t>1x5000 ml</t>
  </si>
  <si>
    <t>SDS-00087</t>
  </si>
  <si>
    <t>2x30000 ml</t>
  </si>
  <si>
    <t>SDS-00088</t>
  </si>
  <si>
    <t>10x250 ml</t>
  </si>
  <si>
    <t>SDS-00089</t>
  </si>
  <si>
    <t>10x120 ml</t>
  </si>
  <si>
    <t>SDS-00090</t>
  </si>
  <si>
    <t>10X60 ml</t>
  </si>
  <si>
    <t>ตุ้เก็บสารเคมี</t>
  </si>
  <si>
    <t>SDS-00091</t>
  </si>
  <si>
    <t>5X240 ml</t>
  </si>
  <si>
    <t>SDS-00092</t>
  </si>
  <si>
    <t>10X180 ml</t>
  </si>
  <si>
    <t>SDS-00093</t>
  </si>
  <si>
    <t>2X450 ml</t>
  </si>
  <si>
    <t>SDS-00094</t>
  </si>
  <si>
    <t>250 ml</t>
  </si>
  <si>
    <t>1X30 ml</t>
  </si>
  <si>
    <t>1X60 ml</t>
  </si>
  <si>
    <t>SDS-00096</t>
  </si>
  <si>
    <t>6X100ml</t>
  </si>
  <si>
    <t>SDS-00098</t>
  </si>
  <si>
    <t>6X400 ml</t>
  </si>
  <si>
    <t>SDS-00099</t>
  </si>
  <si>
    <t>2X5 l</t>
  </si>
  <si>
    <t>SDS-00100</t>
  </si>
  <si>
    <t>5 l</t>
  </si>
  <si>
    <t>ใต้ซิงค์น้ำทำด้วยไม้ห้องล้างเครื่องมือ</t>
  </si>
  <si>
    <t>SDS-00101</t>
  </si>
  <si>
    <t>6x120 ml</t>
  </si>
  <si>
    <t>SDS-00102</t>
  </si>
  <si>
    <t>5x650ml</t>
  </si>
  <si>
    <t>SDS-00103</t>
  </si>
  <si>
    <t>แผนกเครื่องมือแพทย์</t>
  </si>
  <si>
    <t>SDS-00104</t>
  </si>
  <si>
    <t>5X454 g</t>
  </si>
  <si>
    <t>BME</t>
  </si>
  <si>
    <t>SDS-00105</t>
  </si>
  <si>
    <t>1X3.7L</t>
  </si>
  <si>
    <t>SDS-00106</t>
  </si>
  <si>
    <t>5X510g</t>
  </si>
  <si>
    <t>SDS-00107</t>
  </si>
  <si>
    <t>1X534 ml</t>
  </si>
  <si>
    <t>SDS-00108</t>
  </si>
  <si>
    <t>3X400 ml</t>
  </si>
  <si>
    <t>SDS-00109</t>
  </si>
  <si>
    <t>1X0.5 kg</t>
  </si>
  <si>
    <t>SDS-00110</t>
  </si>
  <si>
    <t>3X698 cc</t>
  </si>
  <si>
    <t>SDS-00111</t>
  </si>
  <si>
    <t>1X5 l</t>
  </si>
  <si>
    <t>36 กระปุก</t>
  </si>
  <si>
    <t>SDS-00112</t>
  </si>
  <si>
    <t>หลอด</t>
  </si>
  <si>
    <t>SDS-00113</t>
  </si>
  <si>
    <t>ขวด</t>
  </si>
  <si>
    <t>SDS-00114</t>
  </si>
  <si>
    <t>5x5000 ml</t>
  </si>
  <si>
    <t>พัสดุ</t>
  </si>
  <si>
    <t>120X20 ขวด</t>
  </si>
  <si>
    <t>0.5 คิว 50 ถัง</t>
  </si>
  <si>
    <t>รถเข็น</t>
  </si>
  <si>
    <t>SDS-00116</t>
  </si>
  <si>
    <t>2x4000 ml</t>
  </si>
  <si>
    <t>ART LAB / ชั้น 6</t>
  </si>
  <si>
    <t>5x1000 ml</t>
  </si>
  <si>
    <t>SDS-00117</t>
  </si>
  <si>
    <t>2X500 ml</t>
  </si>
  <si>
    <t>SDS-00118</t>
  </si>
  <si>
    <t>5 pack</t>
  </si>
  <si>
    <t>30 ml</t>
  </si>
  <si>
    <t>ชั้นเก็บของ</t>
  </si>
  <si>
    <t>SDS-00119</t>
  </si>
  <si>
    <t>2 กระป๋อง</t>
  </si>
  <si>
    <t>SDS-00120</t>
  </si>
  <si>
    <t>4X5 l</t>
  </si>
  <si>
    <t>ห้องเก็บเวชภัณฑ์</t>
  </si>
  <si>
    <t>SDS-00121</t>
  </si>
  <si>
    <t>5X1000ml</t>
  </si>
  <si>
    <t>5 ถัง</t>
  </si>
  <si>
    <t>SDS-00122</t>
  </si>
  <si>
    <t>10 x 3.78 l</t>
  </si>
  <si>
    <t>แผนกวิศวกรรม</t>
  </si>
  <si>
    <t>SDS-00123</t>
  </si>
  <si>
    <t>4,001 lt</t>
  </si>
  <si>
    <t>Floor 1</t>
  </si>
  <si>
    <t>SDS-00124</t>
  </si>
  <si>
    <t>24</t>
  </si>
  <si>
    <t>Medical Gas Plant</t>
  </si>
  <si>
    <t>SDS-00125</t>
  </si>
  <si>
    <t>SDS-00126</t>
  </si>
  <si>
    <t>1</t>
  </si>
  <si>
    <t>Engineering FL B</t>
  </si>
  <si>
    <t>SDS-00127</t>
  </si>
  <si>
    <t>20</t>
  </si>
  <si>
    <t>Gas Station FL1</t>
  </si>
  <si>
    <t>SDS-00128</t>
  </si>
  <si>
    <t>SDS-00129</t>
  </si>
  <si>
    <t>10</t>
  </si>
  <si>
    <t>Stock</t>
  </si>
  <si>
    <t>SDS-00130</t>
  </si>
  <si>
    <t>SDS-00131</t>
  </si>
  <si>
    <t>2</t>
  </si>
  <si>
    <t>SDS-00132</t>
  </si>
  <si>
    <t>SDS-00133</t>
  </si>
  <si>
    <t>SDS-00134</t>
  </si>
  <si>
    <t>SDS-00135</t>
  </si>
  <si>
    <t>2800 lt x3 ถัง</t>
  </si>
  <si>
    <t>Generator Room</t>
  </si>
  <si>
    <t>75 ltx 1 ถัง</t>
  </si>
  <si>
    <t>ห้อง Fire pump</t>
  </si>
  <si>
    <t>SDS-00136</t>
  </si>
  <si>
    <t>37</t>
  </si>
  <si>
    <t>SDS-00137</t>
  </si>
  <si>
    <t>11</t>
  </si>
  <si>
    <t>SDS-00138</t>
  </si>
  <si>
    <t>47</t>
  </si>
  <si>
    <t>SDS-00139</t>
  </si>
  <si>
    <t>6</t>
  </si>
  <si>
    <t>SDS-00140</t>
  </si>
  <si>
    <t>3</t>
  </si>
  <si>
    <t>SDS-00141</t>
  </si>
  <si>
    <t>SDS-00142</t>
  </si>
  <si>
    <t>SDS-00143</t>
  </si>
  <si>
    <t>SDS-00144</t>
  </si>
  <si>
    <t>SDS-00145</t>
  </si>
  <si>
    <t>SDS-00146</t>
  </si>
  <si>
    <t>5</t>
  </si>
  <si>
    <t>SDS-00147</t>
  </si>
  <si>
    <t>SDS-00148</t>
  </si>
  <si>
    <t>SDS-00149</t>
  </si>
  <si>
    <t>4</t>
  </si>
  <si>
    <t>SDS-00150</t>
  </si>
  <si>
    <t>1X300 pieces</t>
  </si>
  <si>
    <t>ชั้นวางของ</t>
  </si>
  <si>
    <t>15X450ml</t>
  </si>
  <si>
    <t>SDS-00151</t>
  </si>
  <si>
    <t>5X475 ml</t>
  </si>
  <si>
    <t>SDS-00152</t>
  </si>
  <si>
    <t>50 g</t>
  </si>
  <si>
    <t>SDS-00153</t>
  </si>
  <si>
    <t>SDS-00154</t>
  </si>
  <si>
    <t>SDS-00155</t>
  </si>
  <si>
    <t>3X4 l</t>
  </si>
  <si>
    <t>SDS-00156</t>
  </si>
  <si>
    <t>100 g</t>
  </si>
  <si>
    <t>SDS-00157</t>
  </si>
  <si>
    <t>1.5 kg</t>
  </si>
  <si>
    <t>SDS-00158</t>
  </si>
  <si>
    <t>1X300 ml</t>
  </si>
  <si>
    <t>SDS-00159</t>
  </si>
  <si>
    <t>5 x 3 l</t>
  </si>
  <si>
    <t>4X500 ml</t>
  </si>
  <si>
    <t>3X1000 ml</t>
  </si>
  <si>
    <t>10 box</t>
  </si>
  <si>
    <t>SDS-00161</t>
  </si>
  <si>
    <t>SDS-00162</t>
  </si>
  <si>
    <t>SDS-00163</t>
  </si>
  <si>
    <t>SDS-00164</t>
  </si>
  <si>
    <t>SDS-00165</t>
  </si>
  <si>
    <t>SDS-00166</t>
  </si>
  <si>
    <t>SDS-00167</t>
  </si>
  <si>
    <t>ห้อง Stock</t>
  </si>
  <si>
    <t>SDS-00168</t>
  </si>
  <si>
    <t>SDS-00169</t>
  </si>
  <si>
    <t>4 cassette</t>
  </si>
  <si>
    <t>SDS-00170</t>
  </si>
  <si>
    <t>SDS-00171</t>
  </si>
  <si>
    <t>2 bpx</t>
  </si>
  <si>
    <t>SDS-00172</t>
  </si>
  <si>
    <t>SDS-00173</t>
  </si>
  <si>
    <t>6 box</t>
  </si>
  <si>
    <t>SDS-00174</t>
  </si>
  <si>
    <t>1 box</t>
  </si>
  <si>
    <t>SDS-00175</t>
  </si>
  <si>
    <t>5 box</t>
  </si>
  <si>
    <t>SDS-00176</t>
  </si>
  <si>
    <t>SDS-00177</t>
  </si>
  <si>
    <t>4 box</t>
  </si>
  <si>
    <t>SDS-00178</t>
  </si>
  <si>
    <t>20 box</t>
  </si>
  <si>
    <t>SDS-00179</t>
  </si>
  <si>
    <t>SDS-00180</t>
  </si>
  <si>
    <t>SDS-00181</t>
  </si>
  <si>
    <t>3 box</t>
  </si>
  <si>
    <t>SDS-00182</t>
  </si>
  <si>
    <t>SDS-00183</t>
  </si>
  <si>
    <t>SDS-00184</t>
  </si>
  <si>
    <t>70 blt</t>
  </si>
  <si>
    <t>SDS-00185</t>
  </si>
  <si>
    <t>2 x 60 ml</t>
  </si>
  <si>
    <t>1x450 ml /3x60ml</t>
  </si>
  <si>
    <t>SDS-00186</t>
  </si>
  <si>
    <t>3780 x 2</t>
  </si>
  <si>
    <t>SDS-00187</t>
  </si>
  <si>
    <t>3780 x 5</t>
  </si>
  <si>
    <t>SDS-00188</t>
  </si>
  <si>
    <t>SDS-00189</t>
  </si>
  <si>
    <t>20X100 ml</t>
  </si>
  <si>
    <t>SDS-00190</t>
  </si>
  <si>
    <t>4 x 500 ml</t>
  </si>
  <si>
    <t>SDS-00191</t>
  </si>
  <si>
    <t>500 cc*4 Gallon</t>
  </si>
  <si>
    <t>30X120 ml</t>
  </si>
  <si>
    <t>1x 60 ml</t>
  </si>
  <si>
    <t>1x 1000 ml</t>
  </si>
  <si>
    <t>1X450 ml</t>
  </si>
  <si>
    <t>SDS-00192</t>
  </si>
  <si>
    <t>SDS-00193</t>
  </si>
  <si>
    <t>2 ท่อ</t>
  </si>
  <si>
    <t>ติดอยู่กับเครื่องจี้</t>
  </si>
  <si>
    <t>SDS-00194</t>
  </si>
  <si>
    <t>6 ท่อ</t>
  </si>
  <si>
    <t>เก็บในท่อวางมุมข้างทางเดิน</t>
  </si>
  <si>
    <t>5 x 120 ml</t>
  </si>
  <si>
    <t>ศูนย์ตรวจสุขภาพ</t>
  </si>
  <si>
    <t>5 กล่อง</t>
  </si>
  <si>
    <t>1 ขวด</t>
  </si>
  <si>
    <t>ห้องพักเจ้าหน้าที่</t>
  </si>
  <si>
    <t>9X180 ml</t>
  </si>
  <si>
    <t>SDS-00195</t>
  </si>
  <si>
    <t>SDS-00196</t>
  </si>
  <si>
    <t>SDS-00197</t>
  </si>
  <si>
    <t>50ขวด</t>
  </si>
  <si>
    <t>SDS-00198</t>
  </si>
  <si>
    <t>SDS-00199</t>
  </si>
  <si>
    <t>60 cc* 30 ขวด</t>
  </si>
  <si>
    <t>SDS-00200</t>
  </si>
  <si>
    <t>30cc *6 ขวด</t>
  </si>
  <si>
    <t>SDS-00201</t>
  </si>
  <si>
    <t>1000 cc*6Gallon</t>
  </si>
  <si>
    <t>6X120 ml</t>
  </si>
  <si>
    <t>SDS-00203</t>
  </si>
  <si>
    <t>SDS-00204</t>
  </si>
  <si>
    <t>SDS-00205</t>
  </si>
  <si>
    <t>SDS-00206</t>
  </si>
  <si>
    <t>ห้องรับใหม่</t>
  </si>
  <si>
    <t>SDS-00207</t>
  </si>
  <si>
    <t>2x450 ml</t>
  </si>
  <si>
    <t>7 กล่อง</t>
  </si>
  <si>
    <t>SDS-00208</t>
  </si>
  <si>
    <t>20x180 ml</t>
  </si>
  <si>
    <t>20x60 ml</t>
  </si>
  <si>
    <t>20x120 ml</t>
  </si>
  <si>
    <t>SDS-00209</t>
  </si>
  <si>
    <t>10x100 ml</t>
  </si>
  <si>
    <t>SDS-00210</t>
  </si>
  <si>
    <t>4x500 ml</t>
  </si>
  <si>
    <t>SDS-00211</t>
  </si>
  <si>
    <t>4x60 ml</t>
  </si>
  <si>
    <t>SDS-00212</t>
  </si>
  <si>
    <t>1x120 ml</t>
  </si>
  <si>
    <t>8 หลอด</t>
  </si>
  <si>
    <t>8 ขวด</t>
  </si>
  <si>
    <t>2x120 mll</t>
  </si>
  <si>
    <t>อ่างล้างมือ,โซนทำแผล,</t>
  </si>
  <si>
    <t>2 ถัง</t>
  </si>
  <si>
    <t>lack จัดเก็บ</t>
  </si>
  <si>
    <t>SDS-00213</t>
  </si>
  <si>
    <t>ห้องล้าง bed pan</t>
  </si>
  <si>
    <t>ตู้เก็บสารเคมีของแผนก</t>
  </si>
  <si>
    <t>SDS-00214</t>
  </si>
  <si>
    <t>4x100 ml</t>
  </si>
  <si>
    <t>SDS-00215</t>
  </si>
  <si>
    <t>3x200 ml</t>
  </si>
  <si>
    <t>SDS-00216</t>
  </si>
  <si>
    <t>5x500 ml</t>
  </si>
  <si>
    <t>1กล่อง</t>
  </si>
  <si>
    <t>SDS-00217</t>
  </si>
  <si>
    <t>2x240 ml</t>
  </si>
  <si>
    <t>SDS-00218</t>
  </si>
  <si>
    <t>SDS-00219</t>
  </si>
  <si>
    <t>10x180 ml</t>
  </si>
  <si>
    <t>ชั้นเก็บสารเคมี</t>
  </si>
  <si>
    <t>100ml</t>
  </si>
  <si>
    <t>ห้องพักเบรก</t>
  </si>
  <si>
    <t>คลินิกตรวจสวนหัวใจ</t>
  </si>
  <si>
    <t>ชั้นวางของเก็บสารเคมี</t>
  </si>
  <si>
    <t>250 ชิ้น</t>
  </si>
  <si>
    <t>ห้องทำหัตถการ</t>
  </si>
  <si>
    <t>SDS-00220</t>
  </si>
  <si>
    <t>SDS-00221</t>
  </si>
  <si>
    <t>10 x 120 ml</t>
  </si>
  <si>
    <t>คลินิกผู้ป่วยนอกสูติ-นรี เวชกรรม</t>
  </si>
  <si>
    <t>2X60 ml</t>
  </si>
  <si>
    <t>7X60 ml</t>
  </si>
  <si>
    <t>SDS-00222</t>
  </si>
  <si>
    <t>SDS-00223</t>
  </si>
  <si>
    <t>1X10 ml</t>
  </si>
  <si>
    <t>SDS-00224</t>
  </si>
  <si>
    <t>12X450 ml</t>
  </si>
  <si>
    <t>1pack</t>
  </si>
  <si>
    <t>10X120 ml</t>
  </si>
  <si>
    <t>SDS-00225</t>
  </si>
  <si>
    <t>แผนกฉุกเฉินรถพยาบาล/ER</t>
  </si>
  <si>
    <t>SDS-00226</t>
  </si>
  <si>
    <t>ห้อง STOCK</t>
  </si>
  <si>
    <t>4X180 ml</t>
  </si>
  <si>
    <t>120 x 15 ml</t>
  </si>
  <si>
    <t>ผนังห้อง 2 จุด</t>
  </si>
  <si>
    <t>SDS-00227</t>
  </si>
  <si>
    <t>4X100 ml</t>
  </si>
  <si>
    <t>SDS-00228</t>
  </si>
  <si>
    <t>3 x 240 ml</t>
  </si>
  <si>
    <t>SDS-00229</t>
  </si>
  <si>
    <t>4,8</t>
  </si>
  <si>
    <t>คลินิกอายุรกรรม</t>
  </si>
  <si>
    <t>5 x 60 ml</t>
  </si>
  <si>
    <t>1x30 mll</t>
  </si>
  <si>
    <t>คลินิกวิสัญญี</t>
  </si>
  <si>
    <t>SDS-00230</t>
  </si>
  <si>
    <t>6 gallons</t>
  </si>
  <si>
    <t>SDS-00231</t>
  </si>
  <si>
    <t>3 ขวด</t>
  </si>
  <si>
    <t>SDS-00232</t>
  </si>
  <si>
    <t>อ่างล้างมือ</t>
  </si>
  <si>
    <t>SDS-00233</t>
  </si>
  <si>
    <t>1 ถัง</t>
  </si>
  <si>
    <t>มี อยู่ห้อง stock เครื่องมือ</t>
  </si>
  <si>
    <t>SDS-00234</t>
  </si>
  <si>
    <t>คลินิกเบาหวาน</t>
  </si>
  <si>
    <t>1x 30 ml</t>
  </si>
  <si>
    <t>1000ml</t>
  </si>
  <si>
    <t>ศูนย์ผู้ป่วยนอกหัวใจ</t>
  </si>
  <si>
    <t>1 x 60 ml</t>
  </si>
  <si>
    <t>รถเข็น/ตู้เก็บสารเคมี</t>
  </si>
  <si>
    <t>SDS-00235</t>
  </si>
  <si>
    <t>1 x 30 ml</t>
  </si>
  <si>
    <t>ห้องพัก</t>
  </si>
  <si>
    <t>5X120 ml</t>
  </si>
  <si>
    <t>5 X 60 ml</t>
  </si>
  <si>
    <t>BCT</t>
  </si>
  <si>
    <t>12 กล่อง</t>
  </si>
  <si>
    <t>1X 60 ml</t>
  </si>
  <si>
    <t>2X30 ml</t>
  </si>
  <si>
    <t>5 X 180 ml</t>
  </si>
  <si>
    <t>SDS-00236</t>
  </si>
  <si>
    <t>คอมพิวเตอร์</t>
  </si>
  <si>
    <t>IT</t>
  </si>
  <si>
    <t>SDS-00237</t>
  </si>
  <si>
    <t>SDS-00238</t>
  </si>
  <si>
    <t>1X180 ml</t>
  </si>
  <si>
    <t>SDS-00239</t>
  </si>
  <si>
    <t>ศูนย์รักเต้านม</t>
  </si>
  <si>
    <t>SDS-00240</t>
  </si>
  <si>
    <t>SDS-00241</t>
  </si>
  <si>
    <t>ห้องตรวจแพทย์</t>
  </si>
  <si>
    <t>SDS-00242</t>
  </si>
  <si>
    <t>10cc</t>
  </si>
  <si>
    <t>treatment room</t>
  </si>
  <si>
    <t>1ขวด</t>
  </si>
  <si>
    <t>4X60 ml</t>
  </si>
  <si>
    <t>SDS-00243</t>
  </si>
  <si>
    <t>1ถัง</t>
  </si>
  <si>
    <t>คลินิกศูนย์นสมองและระบบประสาท</t>
  </si>
  <si>
    <t>SDS-00244</t>
  </si>
  <si>
    <t>15X120 ml</t>
  </si>
  <si>
    <t>กายภาพบำบัด</t>
  </si>
  <si>
    <t>1 x 450 ml</t>
  </si>
  <si>
    <t>SDS-00245</t>
  </si>
  <si>
    <t>ห้อง Treatment</t>
  </si>
  <si>
    <t>SDS-00246</t>
  </si>
  <si>
    <t>15 x 120</t>
  </si>
  <si>
    <t>รังสีวินิจฉัย</t>
  </si>
  <si>
    <t>SDS-00247</t>
  </si>
  <si>
    <t>2x60 ml</t>
  </si>
  <si>
    <t>SDS-00248</t>
  </si>
  <si>
    <t>5x450 ml</t>
  </si>
  <si>
    <t>6x60 mll</t>
  </si>
  <si>
    <t>SDS-00249</t>
  </si>
  <si>
    <t>2 x 120 ml</t>
  </si>
  <si>
    <t>SDS-00250</t>
  </si>
  <si>
    <t>60X 360 g</t>
  </si>
  <si>
    <t>คลินิกตา</t>
  </si>
  <si>
    <t>เวชสถิติ</t>
  </si>
  <si>
    <t>2 ขวด</t>
  </si>
  <si>
    <t>ยานพาหนะ</t>
  </si>
  <si>
    <t>SDS-00251</t>
  </si>
  <si>
    <t>1 ถัง/ 30 Lt.</t>
  </si>
  <si>
    <t>QMS</t>
  </si>
  <si>
    <t>บริหารลูกค้าองค์กร</t>
  </si>
  <si>
    <t>ธุรการ</t>
  </si>
  <si>
    <t>SDS-00252</t>
  </si>
  <si>
    <t>2x470 ml</t>
  </si>
  <si>
    <t>SDS-00253</t>
  </si>
  <si>
    <t>1 x 1000 ml</t>
  </si>
  <si>
    <t>นิติการ</t>
  </si>
  <si>
    <t>การเงินนอก</t>
  </si>
  <si>
    <t>SDS-00254</t>
  </si>
  <si>
    <t>รักษาความปลอดภัย</t>
  </si>
  <si>
    <t>บัญชี</t>
  </si>
  <si>
    <t>โภชนาการ</t>
  </si>
  <si>
    <t>ฝ่ายการพยาบาล</t>
  </si>
  <si>
    <t>เวชระเบียน</t>
  </si>
  <si>
    <t>การเงินใน</t>
  </si>
  <si>
    <t>SDS-00255</t>
  </si>
  <si>
    <t>SDS-00256</t>
  </si>
  <si>
    <t>2ขวด</t>
  </si>
  <si>
    <t>SDS-00257</t>
  </si>
  <si>
    <t>SDS-00258</t>
  </si>
  <si>
    <t>8</t>
  </si>
  <si>
    <t>SDS-00259</t>
  </si>
  <si>
    <t>10,000 pieces</t>
  </si>
  <si>
    <t>SDS-00260</t>
  </si>
  <si>
    <t>300 bott.</t>
  </si>
  <si>
    <t>30bott.</t>
  </si>
  <si>
    <t>SDS-00261</t>
  </si>
  <si>
    <t>SDS-00262</t>
  </si>
  <si>
    <t>16</t>
  </si>
  <si>
    <t>80 bott.</t>
  </si>
  <si>
    <t>SDS-00263</t>
  </si>
  <si>
    <t>12</t>
  </si>
  <si>
    <t>SDS-00264</t>
  </si>
  <si>
    <t>10 bott.</t>
  </si>
  <si>
    <t>30</t>
  </si>
  <si>
    <t>SDS-00266</t>
  </si>
  <si>
    <t>SDS-00268</t>
  </si>
  <si>
    <t>120</t>
  </si>
  <si>
    <t>SDS-00269</t>
  </si>
  <si>
    <t>SDS-00270</t>
  </si>
  <si>
    <t>SDS-00271</t>
  </si>
  <si>
    <t>SDS-00272</t>
  </si>
  <si>
    <t>SDS-00273</t>
  </si>
  <si>
    <t>11x450 ml</t>
  </si>
  <si>
    <t>50</t>
  </si>
  <si>
    <t>20x450 ml</t>
  </si>
  <si>
    <t>ประกันสัมพันธ์และส่งต่อ</t>
  </si>
  <si>
    <t>ห้องจ่ายยาชั้น1</t>
  </si>
  <si>
    <t>ห้องจ่ายยาชั้น 1</t>
  </si>
  <si>
    <t>SDS-00274</t>
  </si>
  <si>
    <t>120 bott.</t>
  </si>
  <si>
    <t>18 bott.</t>
  </si>
  <si>
    <t>SDS-00275</t>
  </si>
  <si>
    <t>SDS-00276</t>
  </si>
  <si>
    <t>80</t>
  </si>
  <si>
    <t>SDS-00277</t>
  </si>
  <si>
    <t>SDS-00278</t>
  </si>
  <si>
    <t>100</t>
  </si>
  <si>
    <t>SDS-00279</t>
  </si>
  <si>
    <t>ห้องจ่ายยาชั้น18</t>
  </si>
  <si>
    <t>SDS-00280</t>
  </si>
  <si>
    <t>SDS-00281</t>
  </si>
  <si>
    <t>300</t>
  </si>
  <si>
    <t>SDS-00282</t>
  </si>
  <si>
    <t>SDS-00283</t>
  </si>
  <si>
    <t>SDS-00284</t>
  </si>
  <si>
    <t>450 g</t>
  </si>
  <si>
    <t>SDS-00285</t>
  </si>
  <si>
    <t>SDS-00286</t>
  </si>
  <si>
    <t>ห้องจ่ายยาชั้น 19</t>
  </si>
  <si>
    <t>SDS-00287</t>
  </si>
  <si>
    <t>SDS-00288</t>
  </si>
  <si>
    <t>SDS-00289</t>
  </si>
  <si>
    <t>SDS-00290</t>
  </si>
  <si>
    <t>SDS-00291</t>
  </si>
  <si>
    <t>SDS-00292</t>
  </si>
  <si>
    <t>SDS-00293</t>
  </si>
  <si>
    <t>SDS-00294</t>
  </si>
  <si>
    <t>SDS-00295</t>
  </si>
  <si>
    <t>SDS-00296</t>
  </si>
  <si>
    <t>SDS-00297</t>
  </si>
  <si>
    <t>SDS-00298</t>
  </si>
  <si>
    <t>SDS-00299</t>
  </si>
  <si>
    <t>SDS-00300</t>
  </si>
  <si>
    <t>SDS-00301</t>
  </si>
  <si>
    <t>SDS-00302</t>
  </si>
  <si>
    <t>SDS-00303</t>
  </si>
  <si>
    <t>SDS-00304</t>
  </si>
  <si>
    <t>SDS-00305</t>
  </si>
  <si>
    <t>SDS-00306</t>
  </si>
  <si>
    <t>SDS-00307</t>
  </si>
  <si>
    <t>SDS-00308</t>
  </si>
  <si>
    <t>SDS-00309</t>
  </si>
  <si>
    <t>ห้องจ่ายยาชั้น1,2,4,18,19</t>
  </si>
  <si>
    <t>SDS-00310</t>
  </si>
  <si>
    <t>SDS-00311</t>
  </si>
  <si>
    <t>SDS-00312</t>
  </si>
  <si>
    <t>SDS-00313</t>
  </si>
  <si>
    <t>SDS-00314</t>
  </si>
  <si>
    <t>SDS-00315</t>
  </si>
  <si>
    <t>SDS-00316</t>
  </si>
  <si>
    <t>SDS-00317</t>
  </si>
  <si>
    <t>SDS-00318</t>
  </si>
  <si>
    <t>SDS-00319</t>
  </si>
  <si>
    <t>SDS-00320</t>
  </si>
  <si>
    <t>SDS-00321</t>
  </si>
  <si>
    <t>SDS-00322</t>
  </si>
  <si>
    <t>SDS-00323</t>
  </si>
  <si>
    <t>SDS-00324</t>
  </si>
  <si>
    <t>SDS-00325</t>
  </si>
  <si>
    <t>SDS-00326</t>
  </si>
  <si>
    <t>SDS-00327</t>
  </si>
  <si>
    <t>946 ml</t>
  </si>
  <si>
    <t>พื้นที่ทำงาน</t>
  </si>
  <si>
    <t>SDS-00328</t>
  </si>
  <si>
    <t>2X2.5 l</t>
  </si>
  <si>
    <t>SDS-00329</t>
  </si>
  <si>
    <t>SDS-00330</t>
  </si>
  <si>
    <t>SDS-00331</t>
  </si>
  <si>
    <t>SDS-00332</t>
  </si>
  <si>
    <t>1 ml</t>
  </si>
  <si>
    <t>SDS-00333</t>
  </si>
  <si>
    <t>ลูกค้าสัมพันธ์</t>
  </si>
  <si>
    <t>2 x 1000 ml</t>
  </si>
  <si>
    <t>10 x300 ml</t>
  </si>
  <si>
    <t>20X120 ml</t>
  </si>
  <si>
    <t>5 กระป๋อง</t>
  </si>
  <si>
    <t>SDS-00334</t>
  </si>
  <si>
    <t>60 ml</t>
  </si>
  <si>
    <t>SDS-00335</t>
  </si>
  <si>
    <t>2 box</t>
  </si>
  <si>
    <t>SDS-00336</t>
  </si>
  <si>
    <t>SDS-00337</t>
  </si>
  <si>
    <t>น้ำยา 3 Enzyme</t>
  </si>
  <si>
    <t>3 Enzyme</t>
  </si>
  <si>
    <t>น้ำยาแช่เครื่องมือ Cidex</t>
  </si>
  <si>
    <t>Cidex</t>
  </si>
  <si>
    <t>น้ำยาล้างจาน</t>
  </si>
  <si>
    <t>ไลปอนเอฟ หรือ มาวิน หรือ ซันไลต์</t>
  </si>
  <si>
    <t>Avagard Foaming Instant Hand Antiseptic</t>
  </si>
  <si>
    <t>Virusolve</t>
  </si>
  <si>
    <t>น้ำยาล้างเล็บ(LAPPA)</t>
  </si>
  <si>
    <t>Polish Remover</t>
  </si>
  <si>
    <t>6% Hydrogen peroxide</t>
  </si>
  <si>
    <t>95% alcohol</t>
  </si>
  <si>
    <t>0.5 % chlorhexidine in water (Hibitane 1:10)</t>
  </si>
  <si>
    <t>2-butoxyethanol</t>
  </si>
  <si>
    <t>Glance HC (กล๊านซ์ เอชซี)</t>
  </si>
  <si>
    <t>Alcohol ethoxylates</t>
  </si>
  <si>
    <t>Stride Floral HC (สไตร์ด ฟลอรัล เอชซี)</t>
  </si>
  <si>
    <t>Premia (พรีเมียร์)</t>
  </si>
  <si>
    <t>Butyl Cellosolve, Sodium Xylene Sulfonate</t>
  </si>
  <si>
    <t>J-Shop 600 (เจ-ชอพ 600</t>
  </si>
  <si>
    <t>Conq-R-Dust (คองเคอร์ดัสท์)</t>
  </si>
  <si>
    <t>Suma Inox (ซูม่าไอน็อก)</t>
  </si>
  <si>
    <t>Forward DC ฟอร์เวิด ดีซี</t>
  </si>
  <si>
    <t>General Purpose Spotter</t>
  </si>
  <si>
    <t>Monoethanolamine</t>
  </si>
  <si>
    <t>GP Forward SC Cleaner (จีพี ฟอร์เวิร์ด เอสซี คลีนเซอร์)</t>
  </si>
  <si>
    <t>Jonseal 220 จอห์นซีล 220</t>
  </si>
  <si>
    <t>Sodium ABS, Sodium silicate, Sodium carbonate</t>
  </si>
  <si>
    <t>Tempo (เทมโป้)</t>
  </si>
  <si>
    <t>Sodium Hydroxide, Monoethanolamine</t>
  </si>
  <si>
    <t>Step Off (สะเต็ปออฟ)</t>
  </si>
  <si>
    <t>Taski Omnispray ออมนิสเปรย์</t>
  </si>
  <si>
    <t>Taski Omnistrip ออมนิสตริป</t>
  </si>
  <si>
    <t>เอเมอเริล มัลติ-เซอร์เฟส ครีม คลีนเซอร์</t>
  </si>
  <si>
    <t>Emerel เอเมอเริล</t>
  </si>
  <si>
    <t>Taski Metal Polish ทัสกิ เมทอล โพลิส</t>
  </si>
  <si>
    <t>แคล็กซ์ ผงซักฟอกด้วยเครื่อง</t>
  </si>
  <si>
    <t>CLAX powder แคล็กซ์พาวเดอร์</t>
  </si>
  <si>
    <t>HDF cleaner</t>
  </si>
  <si>
    <t>Crew Lime and Scale Remover</t>
  </si>
  <si>
    <t>Glade Spa Fresh</t>
  </si>
  <si>
    <t>ไลปอนเอฟและ Marvin น้ำยาล้างจาน</t>
  </si>
  <si>
    <t>น้ำมันหอมละเหย</t>
  </si>
  <si>
    <t>ยูคาลิปตัส</t>
  </si>
  <si>
    <t>VirKon disinfectant</t>
  </si>
  <si>
    <t>Purell (Hand Sanitizer)</t>
  </si>
  <si>
    <t>Suma SaturnD4.9( ซูม่าแซทเทิร์นดี4.9)</t>
  </si>
  <si>
    <t>Suma Saturn D4.9 ( ซูม่าแซทเทิร์นดี4.9)</t>
  </si>
  <si>
    <t>Taski Jontec ESD(ทัสกิ จอนเทค อีเอสดี )</t>
  </si>
  <si>
    <t>Oxivir TB (Benzyl alcohol)</t>
  </si>
  <si>
    <t>Oxivir TB</t>
  </si>
  <si>
    <t>Trisodium nitrilotriacetate, Sodium Hydroxide</t>
  </si>
  <si>
    <t>Suma Special</t>
  </si>
  <si>
    <t>Alkyl alcohol alkoxylate</t>
  </si>
  <si>
    <t>Suma Quick Dri</t>
  </si>
  <si>
    <t>Sodium alkylbenzene sulphonate</t>
  </si>
  <si>
    <t>Suma Star</t>
  </si>
  <si>
    <t>Dodeccyl Benzene Sulfonic Acid ,Sodium Xylene Sulfonate , Ethoxylated alcohol</t>
  </si>
  <si>
    <t>Suma Stopp Slip</t>
  </si>
  <si>
    <t>Sodium Metasilicate ,Sodium Hydroxide ,Anionics</t>
  </si>
  <si>
    <t>Suma Break Up HD</t>
  </si>
  <si>
    <t>Sodium Hypochlorite</t>
  </si>
  <si>
    <t>Suma Saturn</t>
  </si>
  <si>
    <t>N-Alkyl Dimethyl Benzyl ammonium chloride ,N-Alkyl Dimethyl Ethylbenzyl ammonium chloride</t>
  </si>
  <si>
    <t>Suma J512</t>
  </si>
  <si>
    <t>suma grill gell</t>
  </si>
  <si>
    <t>Soft care FIC Handgel clenser</t>
  </si>
  <si>
    <t>Suma Calc</t>
  </si>
  <si>
    <t>Dual Dip.</t>
  </si>
  <si>
    <t>Suma Optmuni 281</t>
  </si>
  <si>
    <t>ไลปอนเอฟ ,มาวิน และซันไลต์</t>
  </si>
  <si>
    <t>Neodisher IP spray</t>
  </si>
  <si>
    <t>Neodisher IP spray(400 ml)</t>
  </si>
  <si>
    <t>Mediclean forte</t>
  </si>
  <si>
    <t>Mediclean forte(5L)</t>
  </si>
  <si>
    <t>Stabimed Fresh (B Braun)</t>
  </si>
  <si>
    <t>Stabimed Fresh (B Braun)(5L)</t>
  </si>
  <si>
    <t>สบู่เหลวล้างมือ</t>
  </si>
  <si>
    <t>ETHYLENE SERIE GAS</t>
  </si>
  <si>
    <t>Sterilization Gas type A-100</t>
  </si>
  <si>
    <t>Low foam ultra rapid multi enzyme cleaner</t>
  </si>
  <si>
    <t>Helizyme (B Braun)</t>
  </si>
  <si>
    <t>ไมวิน</t>
  </si>
  <si>
    <t>Hydrex Scrub</t>
  </si>
  <si>
    <t>Hexene Scrub</t>
  </si>
  <si>
    <t>ไลปอนเอฟ หรือ มาวิน หรือ ซันไลต์ ทีโพล์</t>
  </si>
  <si>
    <t>Scott</t>
  </si>
  <si>
    <t>Chlohexidine gluconate in alcoholic solution</t>
  </si>
  <si>
    <t>Betadine solution</t>
  </si>
  <si>
    <t>Clean hand Gel</t>
  </si>
  <si>
    <t>Frekaderm</t>
  </si>
  <si>
    <t>30 % citric acid</t>
  </si>
  <si>
    <t>Sodium hypochlorite</t>
  </si>
  <si>
    <t>5% chlorox</t>
  </si>
  <si>
    <t>citrosteril</t>
  </si>
  <si>
    <t>peracitic acid</t>
  </si>
  <si>
    <t>Chlorhexidine</t>
  </si>
  <si>
    <t>Q-Bac 2A</t>
  </si>
  <si>
    <t>2% chlohexidine in 70% alcohol</t>
  </si>
  <si>
    <t>Chlorhexidine solution (2%)</t>
  </si>
  <si>
    <t>EDTA 17% solution : aionsyme plus</t>
  </si>
  <si>
    <t>Ethy alcohol 70%</t>
  </si>
  <si>
    <t>95 % Alcohol</t>
  </si>
  <si>
    <t>Mybacin</t>
  </si>
  <si>
    <t>Chlorhexidine scrub (4%)</t>
  </si>
  <si>
    <t>Service oil</t>
  </si>
  <si>
    <t>Zeta 5 unit(Aspirators)</t>
  </si>
  <si>
    <t>Clorox 5% (Sodium Hypochlorite)</t>
  </si>
  <si>
    <t>Clorox 5%</t>
  </si>
  <si>
    <t>clear Hand Gel</t>
  </si>
  <si>
    <t>Quattrocare Plus Spray</t>
  </si>
  <si>
    <t>Kavo Quattrocare Plus Spray</t>
  </si>
  <si>
    <t>KAVO Spray 2112</t>
  </si>
  <si>
    <t>Contact Cleaner (Wessbond)</t>
  </si>
  <si>
    <t>ทำความสะอาดบอร์ด 454 กรัม</t>
  </si>
  <si>
    <t>Stride Floral DC Cavicide</t>
  </si>
  <si>
    <t>ทำความสะอาด 1 gallon 3.755L</t>
  </si>
  <si>
    <t>Hydroforce</t>
  </si>
  <si>
    <t>ทำความสะอาดเครื่อง 510 กรัม</t>
  </si>
  <si>
    <t>LPS preslove</t>
  </si>
  <si>
    <t>ทำความสะอาดสายกาว 534 ml</t>
  </si>
  <si>
    <t>WD40</t>
  </si>
  <si>
    <t>น้ำมันอเนกประสงค์ 400 ml</t>
  </si>
  <si>
    <t>LI-PLEX GREASE</t>
  </si>
  <si>
    <t>จาระบี 0.5 kg.</t>
  </si>
  <si>
    <t>Helium</t>
  </si>
  <si>
    <t>Chlorox (NaOCl 5%)</t>
  </si>
  <si>
    <t>CAVILON DURABLE BARRIER 3M</t>
  </si>
  <si>
    <t>CAVILON NO-RINSE SKIN CLEANSER</t>
  </si>
  <si>
    <t>Cavilon No sting Barrier film spray</t>
  </si>
  <si>
    <t>Methyl Alcohol Anhydrous</t>
  </si>
  <si>
    <t>Methanol</t>
  </si>
  <si>
    <t>Hydrex scrub (4 % Chlorhexidine) 500 ml</t>
  </si>
  <si>
    <t>chlorhexidine gluconate</t>
  </si>
  <si>
    <t>Eosin+methylene blue+methanol</t>
  </si>
  <si>
    <t>Q Dip stain set</t>
  </si>
  <si>
    <t>Formaldehyde</t>
  </si>
  <si>
    <t>10 % Formalin</t>
  </si>
  <si>
    <t>Cidex OPA solution</t>
  </si>
  <si>
    <t>ortho-phthalaldehyde</t>
  </si>
  <si>
    <t>ALCOHOL 70% (1,000 ml).</t>
  </si>
  <si>
    <t>Ethyl alcohol</t>
  </si>
  <si>
    <t>Concentrated Quadruple Enzyme Automatic Wash</t>
  </si>
  <si>
    <t>ProEZ AW Quad</t>
  </si>
  <si>
    <t>Oxygen เหลว</t>
  </si>
  <si>
    <t>Oxygen ชนิดถังเหล็ก ขนาด 6 คิว</t>
  </si>
  <si>
    <t>Nitrogen ชนิดถังเหล็ก ขนาด 6 คิว</t>
  </si>
  <si>
    <t>Acetylene ชนิดถังเหล็ก ขนาด 6 คิว</t>
  </si>
  <si>
    <t>ก๊าซหุงต้ม LPG ชนิดถังเหล็ก ขนาด 48 kg</t>
  </si>
  <si>
    <t>Argon ชนิดถังเหล็ก ขนาด 0.5 คิว</t>
  </si>
  <si>
    <t>สารตั้งต้นระบบคลอรีนไดออกไซด์ DG-Adob 01</t>
  </si>
  <si>
    <t>DG Adop01 Sodium Chlorite 7.5% ขนาดถังละ 20 kg</t>
  </si>
  <si>
    <t>สารตั้งต้นระบบคลอรีนไดออกไซด์ DG-Adob 02</t>
  </si>
  <si>
    <t>DG Adop02 Hydrochloric Acid 9-35% ขนาดถังละ 20 kg</t>
  </si>
  <si>
    <t>จุลินทรีย์สำหรับย่อยสลายไขมัน DG-105</t>
  </si>
  <si>
    <t>DG-105 ขนาดถังละ 20 kg</t>
  </si>
  <si>
    <t>น้ำยาสลายไขมันในท่ออุดตัน DG-105B</t>
  </si>
  <si>
    <t>DG-105B ขนาดถังละ 20 kg</t>
  </si>
  <si>
    <t>น้ำยาป้องกันตะกรันและสนิม Carbo Hydro</t>
  </si>
  <si>
    <t>Carbo Hydro ขนาดถังละ 20 kg</t>
  </si>
  <si>
    <t>น้ำยาล้างฟินคอล์ย</t>
  </si>
  <si>
    <t>DG-104W ขนาดถังละ 20 kg</t>
  </si>
  <si>
    <t>น้ำมันดีเซล</t>
  </si>
  <si>
    <t>สีน้ำอคิลิค (ใช้น้ำ เป็นส่วนประกอบ) ขนาด 3 แกลลอน</t>
  </si>
  <si>
    <t>สีน้ำอคิลิค (ใช้น้ำ เป็นส่วนประกอบ) ขนาด 5 แกลลอน</t>
  </si>
  <si>
    <t>สีน้ำมัน (ใช้ทินเนอร์ เป็นส่วนประกอบ) ขนาด 3 แกลลอน</t>
  </si>
  <si>
    <t>ทินเนอร์ ขนาด 1 แกลลอน</t>
  </si>
  <si>
    <t>ทินเนอร์ ขนาด 3 แกลลอน</t>
  </si>
  <si>
    <t>แอลกอฮอล ผสมแชล็คเคลือบเงา ขนาด 1 แกลลอน</t>
  </si>
  <si>
    <t>น้ำมันสน ขนาด 1 แกลลอน</t>
  </si>
  <si>
    <t>กาวยาง</t>
  </si>
  <si>
    <t>โซแน็ค</t>
  </si>
  <si>
    <t>กาวทาท่อพีวีซี</t>
  </si>
  <si>
    <t>น้ำยาแอร์ R-22</t>
  </si>
  <si>
    <t>น้ำยาแอร์ R-23</t>
  </si>
  <si>
    <t>น้ำยาล้างแอร์</t>
  </si>
  <si>
    <t>น้ำยาล้างมือ</t>
  </si>
  <si>
    <t>สเปรย์กำจัดแมลง</t>
  </si>
  <si>
    <t>แผนกมีสารเคมีอันตรายชนิดไวไฟมากที่สุดใน ร.พ. ควรหลีกเลี่ยงการทำให้เกิดประกายไฟ</t>
  </si>
  <si>
    <t>Crystal violet</t>
  </si>
  <si>
    <t>Giema's azure eosin methylene blue</t>
  </si>
  <si>
    <t>Giema's azure eosin methyline blue solution</t>
  </si>
  <si>
    <t>Immersion oil</t>
  </si>
  <si>
    <t>Iodine</t>
  </si>
  <si>
    <t>Methyl alcohol</t>
  </si>
  <si>
    <t>Methylene blue</t>
  </si>
  <si>
    <t>Potassium hydroxide</t>
  </si>
  <si>
    <t>สเปรย์ปรับอากาศ</t>
  </si>
  <si>
    <t>Glade</t>
  </si>
  <si>
    <t>RBS AM 35 MD</t>
  </si>
  <si>
    <t>Safranine</t>
  </si>
  <si>
    <t>Gram’s stain decolorizer</t>
  </si>
  <si>
    <t>AFB stain washing solution</t>
  </si>
  <si>
    <t>Wright's- Giema A solution</t>
  </si>
  <si>
    <t>Wright's- Giema B buffer</t>
  </si>
  <si>
    <t>5%NaOCl</t>
  </si>
  <si>
    <t>Chlorex-He</t>
  </si>
  <si>
    <t>DCL Cellpack</t>
  </si>
  <si>
    <t>CellShealth</t>
  </si>
  <si>
    <t>FluoroWDF</t>
  </si>
  <si>
    <t>FluoroWNR</t>
  </si>
  <si>
    <t>Lysercell WDF</t>
  </si>
  <si>
    <t>LyscercellWNR</t>
  </si>
  <si>
    <t>CellClean Auto</t>
  </si>
  <si>
    <t>Sulfolyser</t>
  </si>
  <si>
    <t>Detergen A</t>
  </si>
  <si>
    <t>Detergen B</t>
  </si>
  <si>
    <t>Probe condition</t>
  </si>
  <si>
    <t>Conc Wash Buffer</t>
  </si>
  <si>
    <t>ARC Triger</t>
  </si>
  <si>
    <t>ARC Pre-Triger</t>
  </si>
  <si>
    <t>Water Bath Additive</t>
  </si>
  <si>
    <t>Alkaline wash Solution</t>
  </si>
  <si>
    <t>Acid Wash</t>
  </si>
  <si>
    <t>Histopot Thinprep</t>
  </si>
  <si>
    <t>Methanol-water sol</t>
  </si>
  <si>
    <t>Xyclocain 4%+Ephedrine2% Solution</t>
  </si>
  <si>
    <t>4% Lidocaune +0.05% Oxymetazoline</t>
  </si>
  <si>
    <t>Cidex OPA</t>
  </si>
  <si>
    <t>Chlorhexidine 2 % in water</t>
  </si>
  <si>
    <t>2 %Chlorhexidine in water</t>
  </si>
  <si>
    <t>Hexene scurb</t>
  </si>
  <si>
    <t>Betadine Scarub 500ml</t>
  </si>
  <si>
    <t>Betadine Scarub</t>
  </si>
  <si>
    <t>Pelvidine solution</t>
  </si>
  <si>
    <t>HistoPot</t>
  </si>
  <si>
    <t>Argon</t>
  </si>
  <si>
    <t>Carbon dioxide</t>
  </si>
  <si>
    <t>ALCOHOL 95%</t>
  </si>
  <si>
    <t>silver nitrate stick</t>
  </si>
  <si>
    <t>silver nitrate</t>
  </si>
  <si>
    <t>ThinPrep</t>
  </si>
  <si>
    <t>Gel ล้างมือตืดผนัง</t>
  </si>
  <si>
    <t>Ethy alcohol</t>
  </si>
  <si>
    <t>น้ำยาล้างขวดนม (Sodium-Lauryl-Ether-Sulfate)</t>
  </si>
  <si>
    <t>Baby mild</t>
  </si>
  <si>
    <t>แชมพูสระผมเด็ก</t>
  </si>
  <si>
    <t>จอห์นสัน,Pigion,dermapon,babymild,d-nee,arau baby</t>
  </si>
  <si>
    <t>น้ำมันมะกอก</t>
  </si>
  <si>
    <t>Hydrex scrub</t>
  </si>
  <si>
    <t>Oxygen ถังเล็ก</t>
  </si>
  <si>
    <t>ทิชชู่เปียก</t>
  </si>
  <si>
    <t>Pigeon baby wipes</t>
  </si>
  <si>
    <t>70% alcohol 180 cc</t>
  </si>
  <si>
    <t>70% Alcohol (60 ml)</t>
  </si>
  <si>
    <t>Q-Bac in alcohol</t>
  </si>
  <si>
    <t>prepskin-C</t>
  </si>
  <si>
    <t>น้ำยาล้าง bed pan</t>
  </si>
  <si>
    <t>DOYEN</t>
  </si>
  <si>
    <t>Hexide cream</t>
  </si>
  <si>
    <t>Chlorhexidine Gluconate 1g</t>
  </si>
  <si>
    <t>2% Chlorhexidine in water</t>
  </si>
  <si>
    <t>0.05% Chlorhexidine in water</t>
  </si>
  <si>
    <t>Betadine sugical Scrub</t>
  </si>
  <si>
    <t>Betadine solution 30 ml</t>
  </si>
  <si>
    <t>Betadine Scrub 120 ml</t>
  </si>
  <si>
    <t>10%formalin</t>
  </si>
  <si>
    <t>trichloroacetic acid</t>
  </si>
  <si>
    <t>Alcohol95%</t>
  </si>
  <si>
    <t>Preservative solution 95%</t>
  </si>
  <si>
    <t>3% acetic acid solution</t>
  </si>
  <si>
    <t>Ammonia (ขนาด60 ml)</t>
  </si>
  <si>
    <t>4%chlohexidine scrub</t>
  </si>
  <si>
    <t>0.05 % chlorhexidine in water (Hibitane 1:100)</t>
  </si>
  <si>
    <t>Oxygen ถังเล็ก,ถังใหญ่</t>
  </si>
  <si>
    <t>Soda lime</t>
  </si>
  <si>
    <t>SEVORANE</t>
  </si>
  <si>
    <t>SUPRANE</t>
  </si>
  <si>
    <t>Oxygen Tank</t>
  </si>
  <si>
    <t>Neodisher Prestop</t>
  </si>
  <si>
    <t>Betadin Solution</t>
  </si>
  <si>
    <t>Chlorhexidine 2 % in 70 % alcohol</t>
  </si>
  <si>
    <t>สเปร์หล่อลื่นโซแน็ค</t>
  </si>
  <si>
    <t>แอลกอฮอล 70%</t>
  </si>
  <si>
    <t>น้ำยาอเนกประสงค์ Touche Klean</t>
  </si>
  <si>
    <t>Alcohol pad</t>
  </si>
  <si>
    <t>95% Alcohol</t>
  </si>
  <si>
    <t>Betadine Sulution</t>
  </si>
  <si>
    <t>CO2</t>
  </si>
  <si>
    <t>pevidine solution</t>
  </si>
  <si>
    <t>Paraffin liquid</t>
  </si>
  <si>
    <t>Paraffin</t>
  </si>
  <si>
    <t>Neoplast หรือ 3M</t>
  </si>
  <si>
    <t>70% Ethy alcohol</t>
  </si>
  <si>
    <t>95% Ethy alcohol</t>
  </si>
  <si>
    <t>Hexene (4 % Chlorhexidine solution) 500 ml</t>
  </si>
  <si>
    <t>MP Ultrasound gel</t>
  </si>
  <si>
    <t>แชมพูล้างรถ</t>
  </si>
  <si>
    <t>Karshine</t>
  </si>
  <si>
    <t>น้ำยาเติมหมึกแท่นประทับ</t>
  </si>
  <si>
    <t>Perservative solution 70%</t>
  </si>
  <si>
    <t>70% Ethyl Alcohol</t>
  </si>
  <si>
    <t>70 % Ethy alcohol</t>
  </si>
  <si>
    <t>GER-MA-WAY Disinfection</t>
  </si>
  <si>
    <t>Alcohol Gel ล้างมือติดผนัง</t>
  </si>
  <si>
    <t>ACETONE (450 ml)</t>
  </si>
  <si>
    <t>ALCOHOL PAD.</t>
  </si>
  <si>
    <t>ALCOHOL 70% (60 ml)</t>
  </si>
  <si>
    <t>ALCOHOL 95% (450 ml).</t>
  </si>
  <si>
    <t>ALCOHOL 70% (450 ml).</t>
  </si>
  <si>
    <t>Ammonia solution 30 ml</t>
  </si>
  <si>
    <t>ammonia</t>
  </si>
  <si>
    <t>Betadine solution 60 ml</t>
  </si>
  <si>
    <t>Posidone scrubb 1000 ml</t>
  </si>
  <si>
    <t>2 % Chlorhexidine in 70 % alcohol 120 ml</t>
  </si>
  <si>
    <t>Hexene (4 % Chlorhexidine solution) 100 ml</t>
  </si>
  <si>
    <t>Chlorhex 5% 5000 ml</t>
  </si>
  <si>
    <t>Hydrpgen peroxide</t>
  </si>
  <si>
    <t>hydrogen peroxide</t>
  </si>
  <si>
    <t>40 %Formalin solution 450 ml</t>
  </si>
  <si>
    <t>ALCOHOL 70% (180 ml).</t>
  </si>
  <si>
    <t>Alcohol hand spray 1000 ml 75 %</t>
  </si>
  <si>
    <t>smart care hand spray</t>
  </si>
  <si>
    <t>ALCOHOL HAND GEL ( 120 ml with Pump).</t>
  </si>
  <si>
    <t>ALCOHOL HAND GEL ( 300 ml with Pump).</t>
  </si>
  <si>
    <t>Betadine solution 120 ml</t>
  </si>
  <si>
    <t>citric acid 450 g</t>
  </si>
  <si>
    <t>citric acid</t>
  </si>
  <si>
    <t>2 % Chlorhexidine in 70 % alcohol 30 ml</t>
  </si>
  <si>
    <t>2 % Chlorhexidine in 70 % alcohol swab stick</t>
  </si>
  <si>
    <t>4 % Chlorhexidine solution 1000 ml</t>
  </si>
  <si>
    <t>coal tar solution 450 ml</t>
  </si>
  <si>
    <t>coal tar solution</t>
  </si>
  <si>
    <t>corn starch powder</t>
  </si>
  <si>
    <t>ephedrine HCL powder 100 g</t>
  </si>
  <si>
    <t>ephedrine</t>
  </si>
  <si>
    <t>dimethyl sulphoxide DMSO 1000 ml</t>
  </si>
  <si>
    <t>dimethyl sulphoxide</t>
  </si>
  <si>
    <t>glacial acetic acid liquid 450 ml</t>
  </si>
  <si>
    <t>glacial acetic acid</t>
  </si>
  <si>
    <t>glycerine borax 10 ml</t>
  </si>
  <si>
    <t>glycerine borax</t>
  </si>
  <si>
    <t>glycerine pure 1 gall</t>
  </si>
  <si>
    <t>glycerine</t>
  </si>
  <si>
    <t>hydrogen peroxide 450 ml</t>
  </si>
  <si>
    <t>lidocaine powder 450 g</t>
  </si>
  <si>
    <t>lidocaine</t>
  </si>
  <si>
    <t>lidocaine spray 10 % 50 ml</t>
  </si>
  <si>
    <t>methyl paraben powder 450 g</t>
  </si>
  <si>
    <t>methyl paraben</t>
  </si>
  <si>
    <t>minoxidil powder 100 g</t>
  </si>
  <si>
    <t>minoxidil powder</t>
  </si>
  <si>
    <t>monsel's solution</t>
  </si>
  <si>
    <t>ferric subsulfate</t>
  </si>
  <si>
    <t>orange solution 25 ml</t>
  </si>
  <si>
    <t>methyl orage solution</t>
  </si>
  <si>
    <t>olive oil 450 ml</t>
  </si>
  <si>
    <t>olive oil</t>
  </si>
  <si>
    <t>paraffin liquid 450 ml</t>
  </si>
  <si>
    <t>paraffin liquid</t>
  </si>
  <si>
    <t>potassium chloride powder 450 g</t>
  </si>
  <si>
    <t>potassium chloride</t>
  </si>
  <si>
    <t>potassium permamganate crystal</t>
  </si>
  <si>
    <t>potassium permamganate</t>
  </si>
  <si>
    <t>propyl paraben powder 450 g</t>
  </si>
  <si>
    <t>propyl paraben</t>
  </si>
  <si>
    <t>propylene glycol 450 ml</t>
  </si>
  <si>
    <t>propylene glycol</t>
  </si>
  <si>
    <t>7.5 % povidone-iodine 1000 ml</t>
  </si>
  <si>
    <t>salicylic acid powder 450 g</t>
  </si>
  <si>
    <t>salicylic acid</t>
  </si>
  <si>
    <t>scmc powder</t>
  </si>
  <si>
    <t>Sodium carboxymethylcellulose</t>
  </si>
  <si>
    <t>SUPRANE (DESFLURANE) SOLUTION (240 ml)</t>
  </si>
  <si>
    <t>suprane</t>
  </si>
  <si>
    <t>thimerosol tincture 30 ml</t>
  </si>
  <si>
    <t>thimerosol tincture</t>
  </si>
  <si>
    <t>trichloroacetic acid powder</t>
  </si>
  <si>
    <t>zinc oxide powder 450 g</t>
  </si>
  <si>
    <t>zinc oxide</t>
  </si>
  <si>
    <t>CAWIWIPE</t>
  </si>
  <si>
    <t>ยาเคมีบำบัด</t>
  </si>
  <si>
    <t>carboplatin</t>
  </si>
  <si>
    <t>cisplatin</t>
  </si>
  <si>
    <t>docetaxel</t>
  </si>
  <si>
    <t>doxorubicin</t>
  </si>
  <si>
    <t>cyclophosphamide</t>
  </si>
  <si>
    <t>epirubicin</t>
  </si>
  <si>
    <t>5-fu</t>
  </si>
  <si>
    <t>fluorouracil</t>
  </si>
  <si>
    <t>gemcitabine</t>
  </si>
  <si>
    <t>herceptin</t>
  </si>
  <si>
    <t>trastuzumab</t>
  </si>
  <si>
    <t>methotrexate</t>
  </si>
  <si>
    <t>oxaliplatin</t>
  </si>
  <si>
    <t>paclitaxel</t>
  </si>
  <si>
    <t>vinorelbine</t>
  </si>
  <si>
    <t>vincristine</t>
  </si>
  <si>
    <t>Emerel</t>
  </si>
  <si>
    <t>Glance HC</t>
  </si>
  <si>
    <t>J-SHOP 600</t>
  </si>
  <si>
    <t>Stride Floral HC</t>
  </si>
  <si>
    <t>Tempo</t>
  </si>
  <si>
    <t>Virex 256</t>
  </si>
  <si>
    <t>70 % Alcohol</t>
  </si>
  <si>
    <t>SOS</t>
  </si>
  <si>
    <t>Gel ล้างมือ</t>
  </si>
  <si>
    <t>Virulex</t>
  </si>
  <si>
    <t>สบู่ล้างมือ</t>
  </si>
  <si>
    <t>รายการ</t>
  </si>
  <si>
    <t>ค่า</t>
  </si>
  <si>
    <t>ไฟล์ต้นทาง</t>
  </si>
  <si>
    <t>ตารางรายการสารเคมีอัพเดท -23122025.xlsx</t>
  </si>
  <si>
    <t>ไฟล์ปลายทาง</t>
  </si>
  <si>
    <t>ตารางรายการสารเคมีรวมทุกแผนก.xlsx</t>
  </si>
  <si>
    <t>จำนวนชีตแผนกที่ใช้</t>
  </si>
  <si>
    <t>จำนวนรายการรวมทุกแผนก</t>
  </si>
  <si>
    <t>จำนวนรายการสารไม่ซ้ำ</t>
  </si>
  <si>
    <t>จำนวนแถวข้อมูลไม่ตรงกัน</t>
  </si>
  <si>
    <t>ชีตที่นำเข้าข้อมูล</t>
  </si>
  <si>
    <t>จำนวนรายการ</t>
  </si>
  <si>
    <t>1.URO</t>
  </si>
  <si>
    <t>2.ENT</t>
  </si>
  <si>
    <t>3.แม่บ้าน</t>
  </si>
  <si>
    <t xml:space="preserve">4.ฟู้ดเฮ้า </t>
  </si>
  <si>
    <t>5.CSSD</t>
  </si>
  <si>
    <t>6.w 7</t>
  </si>
  <si>
    <t>7.w8</t>
  </si>
  <si>
    <t>8.w9</t>
  </si>
  <si>
    <t>9.W10</t>
  </si>
  <si>
    <t>10.W11</t>
  </si>
  <si>
    <t>11.W12</t>
  </si>
  <si>
    <t>12.w15</t>
  </si>
  <si>
    <t>13.W17</t>
  </si>
  <si>
    <t>14.ไตเทียมชั้น3</t>
  </si>
  <si>
    <t>15.ทันตกรรม</t>
  </si>
  <si>
    <t>16.BME</t>
  </si>
  <si>
    <t>17.พัสดุ</t>
  </si>
  <si>
    <t>18.รับส่ง</t>
  </si>
  <si>
    <t>19.ART Lab</t>
  </si>
  <si>
    <t>20.GI</t>
  </si>
  <si>
    <t>21.วิศวกรรม</t>
  </si>
  <si>
    <t>22.Lab update</t>
  </si>
  <si>
    <t>23.ห้องผ่าตัด</t>
  </si>
  <si>
    <t>24.ศูนย์ตรวจสุขภาพ</t>
  </si>
  <si>
    <t>25.NSY</t>
  </si>
  <si>
    <t>26.MSK</t>
  </si>
  <si>
    <t>27.ICU</t>
  </si>
  <si>
    <t>28.LR</t>
  </si>
  <si>
    <t>29.Ped</t>
  </si>
  <si>
    <t>30.คลินิคตรวจสวนหัวใจ</t>
  </si>
  <si>
    <t>31.OBG</t>
  </si>
  <si>
    <t>32.ER</t>
  </si>
  <si>
    <t>33.MED</t>
  </si>
  <si>
    <t>34.วิสัญญี</t>
  </si>
  <si>
    <t>35.DM</t>
  </si>
  <si>
    <t>36.ศูนย์ผู้ป่วยนอกหัวใจ</t>
  </si>
  <si>
    <t>37.Observe+มะเร็ง</t>
  </si>
  <si>
    <t>38.BCT</t>
  </si>
  <si>
    <t>39.IT</t>
  </si>
  <si>
    <t>40.ศูนย์รักเต้านม</t>
  </si>
  <si>
    <t>41.PCC</t>
  </si>
  <si>
    <t>42.Neuro</t>
  </si>
  <si>
    <t>43.กายภาพ</t>
  </si>
  <si>
    <t>44.รังสีวินิจฉัย</t>
  </si>
  <si>
    <t>45.คลินิกตา</t>
  </si>
  <si>
    <t>46.เวชสถิติ</t>
  </si>
  <si>
    <t>47.ยานพาหนะ</t>
  </si>
  <si>
    <t>48.QMS</t>
  </si>
  <si>
    <t>49.บลค.</t>
  </si>
  <si>
    <t>50.ธุรการ</t>
  </si>
  <si>
    <t>51.นิติการ</t>
  </si>
  <si>
    <t>52.การเงินนอก</t>
  </si>
  <si>
    <t>53.รปภ.</t>
  </si>
  <si>
    <t>55.บัญชี</t>
  </si>
  <si>
    <t>56.โภชนาการ</t>
  </si>
  <si>
    <t>57.ฝ่ายการพยาบาล</t>
  </si>
  <si>
    <t>58.เวชระเบียน</t>
  </si>
  <si>
    <t>59.การเงินใน</t>
  </si>
  <si>
    <t>60.คลังยา</t>
  </si>
  <si>
    <t>54.ประกันสัมพันธ์ ส่งต่อ</t>
  </si>
  <si>
    <t>เภสัชรวมทุกห้อง</t>
  </si>
  <si>
    <t>61.แม่บ้าน</t>
  </si>
  <si>
    <t>62.ลูกค้าสัมพันธ์</t>
  </si>
  <si>
    <t>63.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</si>
</sst>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0"/>
      <name val="Aptos"/>
    </font>
    <font>
      <b/>
      <sz val="11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2"/>
  <sheetViews>
    <sheetView tabSelected="1" topLeftCell="B1" workbookViewId="0">
      <pane ySplit="1" topLeftCell="A2" activePane="bottomLeft" state="frozen"/>
      <selection pane="bottomLeft" activeCell="C1" sqref="C1:V1"/>
    </sheetView>
  </sheetViews>
  <sheetFormatPr defaultRowHeight="13.8" x14ac:dyDescent="0.25"/>
  <cols>
    <col min="1" max="1" width="23.296875" customWidth="1"/>
    <col min="2" max="2" width="13" customWidth="1"/>
    <col min="3" max="3" width="36" customWidth="1"/>
    <col min="4" max="4" width="13" customWidth="1"/>
    <col min="5" max="5" width="30" customWidth="1"/>
    <col min="6" max="6" width="55" customWidth="1"/>
    <col min="7" max="7" width="22" customWidth="1"/>
    <col min="8" max="8" width="14" customWidth="1"/>
    <col min="9" max="9" width="20" customWidth="1"/>
    <col min="10" max="10" width="19" customWidth="1"/>
    <col min="11" max="11" width="20" customWidth="1"/>
    <col min="12" max="12" width="10" customWidth="1"/>
    <col min="13" max="13" width="28" customWidth="1"/>
    <col min="14" max="14" width="36" customWidth="1"/>
    <col min="15" max="15" width="27" customWidth="1"/>
    <col min="16" max="16" width="21" customWidth="1"/>
    <col min="17" max="17" width="17" customWidth="1"/>
    <col min="18" max="18" width="19" customWidth="1"/>
    <col min="19" max="19" width="17" customWidth="1"/>
    <col min="20" max="20" width="31" customWidth="1"/>
    <col min="21" max="21" width="20" customWidth="1"/>
    <col min="22" max="22" width="26" customWidth="1"/>
    <col min="23" max="23" width="30" customWidth="1"/>
  </cols>
  <sheetData>
    <row r="1" spans="1:23" ht="30" customHeight="1" x14ac:dyDescent="0.25">
      <c r="A1" s="4" t="s">
        <v>103</v>
      </c>
      <c r="B1" s="4" t="s">
        <v>0</v>
      </c>
      <c r="C1" s="4" t="s">
        <v>1</v>
      </c>
      <c r="D1" s="4" t="s">
        <v>2</v>
      </c>
      <c r="E1" s="4" t="s">
        <v>104</v>
      </c>
      <c r="F1" s="4" t="s">
        <v>105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</row>
    <row r="2" spans="1:23" x14ac:dyDescent="0.25">
      <c r="A2" s="2" t="s">
        <v>106</v>
      </c>
      <c r="B2" s="3" t="s">
        <v>107</v>
      </c>
      <c r="C2" s="2" t="str">
        <f>INDEX(รายการสาร!$B:$B,MATCH($B2,รายการสาร!$A:$A,0))</f>
        <v>น้ำยา 3 Enzyme</v>
      </c>
      <c r="D2" s="2" t="str">
        <f>INDEX(รายการสาร!$C:$C,MATCH($B2,รายการสาร!$A:$A,0))</f>
        <v>3 Enzyme</v>
      </c>
      <c r="E2" s="2" t="s">
        <v>108</v>
      </c>
      <c r="F2" s="2" t="s">
        <v>109</v>
      </c>
      <c r="G2" s="3"/>
      <c r="H2" s="3"/>
      <c r="I2" s="3"/>
      <c r="J2" s="3"/>
      <c r="K2" s="3"/>
      <c r="L2" s="3"/>
      <c r="M2" s="3" t="s">
        <v>23</v>
      </c>
      <c r="N2" s="3" t="s">
        <v>23</v>
      </c>
      <c r="O2" s="3"/>
      <c r="P2" s="3"/>
      <c r="Q2" s="3" t="s">
        <v>23</v>
      </c>
      <c r="R2" s="3"/>
      <c r="S2" s="3" t="s">
        <v>23</v>
      </c>
      <c r="T2" s="3"/>
      <c r="U2" s="3"/>
      <c r="V2" s="3" t="s">
        <v>23</v>
      </c>
      <c r="W2" s="3"/>
    </row>
    <row r="3" spans="1:23" x14ac:dyDescent="0.25">
      <c r="A3" s="2" t="s">
        <v>106</v>
      </c>
      <c r="B3" s="3" t="s">
        <v>110</v>
      </c>
      <c r="C3" s="2" t="str">
        <f>INDEX(รายการสาร!$B:$B,MATCH($B3,รายการสาร!$A:$A,0))</f>
        <v>น้ำยาแช่เครื่องมือ Cidex</v>
      </c>
      <c r="D3" s="2" t="str">
        <f>INDEX(รายการสาร!$C:$C,MATCH($B3,รายการสาร!$A:$A,0))</f>
        <v>Cidex</v>
      </c>
      <c r="E3" s="2" t="s">
        <v>108</v>
      </c>
      <c r="F3" s="2" t="s">
        <v>109</v>
      </c>
      <c r="G3" s="3"/>
      <c r="H3" s="3"/>
      <c r="I3" s="3"/>
      <c r="J3" s="3"/>
      <c r="K3" s="3"/>
      <c r="L3" s="3"/>
      <c r="M3" s="3" t="s">
        <v>23</v>
      </c>
      <c r="N3" s="3"/>
      <c r="O3" s="3" t="s">
        <v>23</v>
      </c>
      <c r="P3" s="3"/>
      <c r="Q3" s="3" t="s">
        <v>23</v>
      </c>
      <c r="R3" s="3"/>
      <c r="S3" s="3" t="s">
        <v>23</v>
      </c>
      <c r="T3" s="3"/>
      <c r="U3" s="3"/>
      <c r="V3" s="3" t="s">
        <v>23</v>
      </c>
      <c r="W3" s="3"/>
    </row>
    <row r="4" spans="1:23" x14ac:dyDescent="0.25">
      <c r="A4" s="2" t="s">
        <v>106</v>
      </c>
      <c r="B4" s="3" t="s">
        <v>20</v>
      </c>
      <c r="C4" s="2" t="str">
        <f>INDEX(รายการสาร!$B:$B,MATCH($B4,รายการสาร!$A:$A,0))</f>
        <v>คิมแคร์สบู่เหลวล้างมือ</v>
      </c>
      <c r="D4" s="2" t="str">
        <f>INDEX(รายการสาร!$C:$C,MATCH($B4,รายการสาร!$A:$A,0))</f>
        <v>Kimcare</v>
      </c>
      <c r="E4" s="2" t="s">
        <v>111</v>
      </c>
      <c r="F4" s="2" t="s">
        <v>112</v>
      </c>
      <c r="G4" s="3"/>
      <c r="H4" s="3"/>
      <c r="I4" s="3"/>
      <c r="J4" s="3"/>
      <c r="K4" s="3"/>
      <c r="L4" s="3"/>
      <c r="M4" s="3"/>
      <c r="N4" s="3"/>
      <c r="O4" s="3" t="s">
        <v>23</v>
      </c>
      <c r="P4" s="3"/>
      <c r="Q4" s="3"/>
      <c r="R4" s="3"/>
      <c r="S4" s="3"/>
      <c r="T4" s="3"/>
      <c r="U4" s="3"/>
      <c r="V4" s="3"/>
      <c r="W4" s="3"/>
    </row>
    <row r="5" spans="1:23" ht="41.4" customHeight="1" x14ac:dyDescent="0.25">
      <c r="A5" s="2" t="s">
        <v>106</v>
      </c>
      <c r="B5" s="3" t="s">
        <v>113</v>
      </c>
      <c r="C5" s="2" t="str">
        <f>INDEX(รายการสาร!$B:$B,MATCH($B5,รายการสาร!$A:$A,0))</f>
        <v>น้ำยาล้างจาน</v>
      </c>
      <c r="D5" s="2" t="str">
        <f>INDEX(รายการสาร!$C:$C,MATCH($B5,รายการสาร!$A:$A,0))</f>
        <v>ไลปอนเอฟ หรือ มาวิน หรือ ซันไลต์</v>
      </c>
      <c r="E5" s="2" t="s">
        <v>114</v>
      </c>
      <c r="F5" s="2" t="s">
        <v>109</v>
      </c>
      <c r="G5" s="3"/>
      <c r="H5" s="3"/>
      <c r="I5" s="3"/>
      <c r="J5" s="3"/>
      <c r="K5" s="3"/>
      <c r="L5" s="3"/>
      <c r="M5" s="3"/>
      <c r="N5" s="3"/>
      <c r="O5" s="3" t="s">
        <v>23</v>
      </c>
      <c r="P5" s="3"/>
      <c r="Q5" s="3"/>
      <c r="R5" s="3"/>
      <c r="S5" s="3"/>
      <c r="T5" s="3"/>
      <c r="U5" s="3"/>
      <c r="V5" s="3"/>
      <c r="W5" s="3"/>
    </row>
    <row r="6" spans="1:23" ht="41.4" x14ac:dyDescent="0.25">
      <c r="A6" s="2" t="s">
        <v>106</v>
      </c>
      <c r="B6" s="3" t="s">
        <v>115</v>
      </c>
      <c r="C6" s="2" t="str">
        <f>INDEX(รายการสาร!$B:$B,MATCH($B6,รายการสาร!$A:$A,0))</f>
        <v>Avagard Foaming Instant Hand Antiseptic</v>
      </c>
      <c r="D6" s="2" t="str">
        <f>INDEX(รายการสาร!$C:$C,MATCH($B6,รายการสาร!$A:$A,0))</f>
        <v>Avagard Foaming Instant Hand Antiseptic</v>
      </c>
      <c r="E6" s="2" t="s">
        <v>116</v>
      </c>
      <c r="F6" s="2" t="s">
        <v>117</v>
      </c>
      <c r="G6" s="3"/>
      <c r="H6" s="3" t="s">
        <v>23</v>
      </c>
      <c r="I6" s="3"/>
      <c r="J6" s="3"/>
      <c r="K6" s="3"/>
      <c r="L6" s="3"/>
      <c r="M6" s="3"/>
      <c r="N6" s="3"/>
      <c r="O6" s="3" t="s">
        <v>23</v>
      </c>
      <c r="P6" s="3"/>
      <c r="Q6" s="3"/>
      <c r="R6" s="3"/>
      <c r="S6" s="3"/>
      <c r="T6" s="3"/>
      <c r="U6" s="3"/>
      <c r="V6" s="3"/>
      <c r="W6" s="3" t="s">
        <v>23</v>
      </c>
    </row>
    <row r="7" spans="1:23" ht="27.6" x14ac:dyDescent="0.25">
      <c r="A7" s="2" t="s">
        <v>106</v>
      </c>
      <c r="B7" s="3" t="s">
        <v>26</v>
      </c>
      <c r="C7" s="2" t="str">
        <f>INDEX(รายการสาร!$B:$B,MATCH($B7,รายการสาร!$A:$A,0))</f>
        <v>70% alcohol</v>
      </c>
      <c r="D7" s="2" t="str">
        <f>INDEX(รายการสาร!$C:$C,MATCH($B7,รายการสาร!$A:$A,0))</f>
        <v>Preservative solution 70%</v>
      </c>
      <c r="E7" s="2" t="s">
        <v>118</v>
      </c>
      <c r="F7" s="2" t="s">
        <v>119</v>
      </c>
      <c r="G7" s="3"/>
      <c r="H7" s="3" t="s">
        <v>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 t="s">
        <v>23</v>
      </c>
    </row>
    <row r="8" spans="1:23" x14ac:dyDescent="0.25">
      <c r="A8" s="2" t="s">
        <v>120</v>
      </c>
      <c r="B8" s="3" t="s">
        <v>30</v>
      </c>
      <c r="C8" s="2" t="str">
        <f>INDEX(รายการสาร!$B:$B,MATCH($B8,รายการสาร!$A:$A,0))</f>
        <v>Ammonia</v>
      </c>
      <c r="D8" s="2" t="str">
        <f>INDEX(รายการสาร!$C:$C,MATCH($B8,รายการสาร!$A:$A,0))</f>
        <v>Ammonia</v>
      </c>
      <c r="E8" s="2" t="s">
        <v>121</v>
      </c>
      <c r="F8" s="2" t="s">
        <v>122</v>
      </c>
      <c r="G8" s="3"/>
      <c r="H8" s="3"/>
      <c r="I8" s="3"/>
      <c r="J8" s="3" t="s">
        <v>23</v>
      </c>
      <c r="K8" s="3" t="s">
        <v>23</v>
      </c>
      <c r="L8" s="3"/>
      <c r="M8" s="3" t="s">
        <v>23</v>
      </c>
      <c r="N8" s="3"/>
      <c r="O8" s="3"/>
      <c r="P8" s="3"/>
      <c r="Q8" s="3" t="s">
        <v>23</v>
      </c>
      <c r="R8" s="3" t="s">
        <v>23</v>
      </c>
      <c r="S8" s="3"/>
      <c r="T8" s="3"/>
      <c r="U8" s="3"/>
      <c r="V8" s="3"/>
      <c r="W8" s="3"/>
    </row>
    <row r="9" spans="1:23" ht="27.6" x14ac:dyDescent="0.25">
      <c r="A9" s="2" t="s">
        <v>120</v>
      </c>
      <c r="B9" s="3" t="s">
        <v>26</v>
      </c>
      <c r="C9" s="2" t="str">
        <f>INDEX(รายการสาร!$B:$B,MATCH($B9,รายการสาร!$A:$A,0))</f>
        <v>70% alcohol</v>
      </c>
      <c r="D9" s="2" t="str">
        <f>INDEX(รายการสาร!$C:$C,MATCH($B9,รายการสาร!$A:$A,0))</f>
        <v>Preservative solution 70%</v>
      </c>
      <c r="E9" s="2" t="s">
        <v>123</v>
      </c>
      <c r="F9" s="2" t="s">
        <v>122</v>
      </c>
      <c r="G9" s="3"/>
      <c r="H9" s="3" t="s">
        <v>23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 t="s">
        <v>23</v>
      </c>
    </row>
    <row r="10" spans="1:23" ht="41.4" x14ac:dyDescent="0.25">
      <c r="A10" s="2" t="s">
        <v>120</v>
      </c>
      <c r="B10" s="3" t="s">
        <v>113</v>
      </c>
      <c r="C10" s="2" t="str">
        <f>INDEX(รายการสาร!$B:$B,MATCH($B10,รายการสาร!$A:$A,0))</f>
        <v>น้ำยาล้างจาน</v>
      </c>
      <c r="D10" s="2" t="str">
        <f>INDEX(รายการสาร!$C:$C,MATCH($B10,รายการสาร!$A:$A,0))</f>
        <v>ไลปอนเอฟ หรือ มาวิน หรือ ซันไลต์</v>
      </c>
      <c r="E10" s="2" t="s">
        <v>111</v>
      </c>
      <c r="F10" s="2" t="s">
        <v>122</v>
      </c>
      <c r="G10" s="3"/>
      <c r="H10" s="3"/>
      <c r="I10" s="3"/>
      <c r="J10" s="3"/>
      <c r="K10" s="3"/>
      <c r="L10" s="3"/>
      <c r="M10" s="3"/>
      <c r="N10" s="3"/>
      <c r="O10" s="3" t="s">
        <v>23</v>
      </c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2" t="s">
        <v>120</v>
      </c>
      <c r="B11" s="3" t="s">
        <v>124</v>
      </c>
      <c r="C11" s="2" t="str">
        <f>INDEX(รายการสาร!$B:$B,MATCH($B11,รายการสาร!$A:$A,0))</f>
        <v>Virusolve</v>
      </c>
      <c r="D11" s="2" t="str">
        <f>INDEX(รายการสาร!$C:$C,MATCH($B11,รายการสาร!$A:$A,0))</f>
        <v>Virusolve</v>
      </c>
      <c r="E11" s="2" t="s">
        <v>125</v>
      </c>
      <c r="F11" s="2" t="s">
        <v>122</v>
      </c>
      <c r="G11" s="3"/>
      <c r="H11" s="3"/>
      <c r="I11" s="3"/>
      <c r="J11" s="3"/>
      <c r="K11" s="3"/>
      <c r="L11" s="3"/>
      <c r="M11" s="3" t="s">
        <v>23</v>
      </c>
      <c r="N11" s="3"/>
      <c r="O11" s="3"/>
      <c r="P11" s="3"/>
      <c r="Q11" s="3" t="s">
        <v>23</v>
      </c>
      <c r="R11" s="3" t="s">
        <v>23</v>
      </c>
      <c r="S11" s="3" t="s">
        <v>23</v>
      </c>
      <c r="T11" s="3"/>
      <c r="U11" s="3"/>
      <c r="V11" s="3" t="s">
        <v>23</v>
      </c>
      <c r="W11" s="3"/>
    </row>
    <row r="12" spans="1:23" x14ac:dyDescent="0.25">
      <c r="A12" s="2" t="s">
        <v>120</v>
      </c>
      <c r="B12" s="3" t="s">
        <v>126</v>
      </c>
      <c r="C12" s="2" t="str">
        <f>INDEX(รายการสาร!$B:$B,MATCH($B12,รายการสาร!$A:$A,0))</f>
        <v>น้ำยาล้างเล็บ(LAPPA)</v>
      </c>
      <c r="D12" s="2" t="str">
        <f>INDEX(รายการสาร!$C:$C,MATCH($B12,รายการสาร!$A:$A,0))</f>
        <v>Polish Remover</v>
      </c>
      <c r="E12" s="2" t="s">
        <v>127</v>
      </c>
      <c r="F12" s="2" t="s">
        <v>122</v>
      </c>
      <c r="G12" s="3"/>
      <c r="H12" s="3" t="s">
        <v>23</v>
      </c>
      <c r="I12" s="3"/>
      <c r="J12" s="3"/>
      <c r="K12" s="3"/>
      <c r="L12" s="3"/>
      <c r="M12" s="3" t="s">
        <v>23</v>
      </c>
      <c r="N12" s="3"/>
      <c r="O12" s="3" t="s">
        <v>23</v>
      </c>
      <c r="P12" s="3"/>
      <c r="Q12" s="3" t="s">
        <v>23</v>
      </c>
      <c r="R12" s="3"/>
      <c r="S12" s="3"/>
      <c r="T12" s="3"/>
      <c r="U12" s="3"/>
      <c r="V12" s="3"/>
      <c r="W12" s="3" t="s">
        <v>23</v>
      </c>
    </row>
    <row r="13" spans="1:23" x14ac:dyDescent="0.25">
      <c r="A13" s="2" t="s">
        <v>120</v>
      </c>
      <c r="B13" s="3" t="s">
        <v>32</v>
      </c>
      <c r="C13" s="2" t="str">
        <f>INDEX(รายการสาร!$B:$B,MATCH($B13,รายการสาร!$A:$A,0))</f>
        <v>Gel ล้างมือติดผนัง</v>
      </c>
      <c r="D13" s="2" t="str">
        <f>INDEX(รายการสาร!$C:$C,MATCH($B13,รายการสาร!$A:$A,0))</f>
        <v>Purell</v>
      </c>
      <c r="E13" s="2" t="s">
        <v>128</v>
      </c>
      <c r="F13" s="2" t="s">
        <v>129</v>
      </c>
      <c r="G13" s="3"/>
      <c r="H13" s="3" t="s">
        <v>23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 t="s">
        <v>23</v>
      </c>
    </row>
    <row r="14" spans="1:23" x14ac:dyDescent="0.25">
      <c r="A14" s="2" t="s">
        <v>120</v>
      </c>
      <c r="B14" s="3" t="s">
        <v>35</v>
      </c>
      <c r="C14" s="2" t="str">
        <f>INDEX(รายการสาร!$B:$B,MATCH($B14,รายการสาร!$A:$A,0))</f>
        <v>Alcohol Gel</v>
      </c>
      <c r="D14" s="2" t="str">
        <f>INDEX(รายการสาร!$C:$C,MATCH($B14,รายการสาร!$A:$A,0))</f>
        <v>Clear Hand Gel</v>
      </c>
      <c r="E14" s="2" t="s">
        <v>130</v>
      </c>
      <c r="F14" s="2" t="s">
        <v>122</v>
      </c>
      <c r="G14" s="3"/>
      <c r="H14" s="3" t="s">
        <v>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 t="s">
        <v>23</v>
      </c>
    </row>
    <row r="15" spans="1:23" x14ac:dyDescent="0.25">
      <c r="A15" s="2" t="s">
        <v>120</v>
      </c>
      <c r="B15" s="3" t="s">
        <v>40</v>
      </c>
      <c r="C15" s="2" t="str">
        <f>INDEX(รายการสาร!$B:$B,MATCH($B15,รายการสาร!$A:$A,0))</f>
        <v>Betadine</v>
      </c>
      <c r="D15" s="2" t="str">
        <f>INDEX(รายการสาร!$C:$C,MATCH($B15,รายการสาร!$A:$A,0))</f>
        <v>Betadine</v>
      </c>
      <c r="E15" s="2" t="s">
        <v>131</v>
      </c>
      <c r="F15" s="2" t="s">
        <v>122</v>
      </c>
      <c r="G15" s="3"/>
      <c r="H15" s="3"/>
      <c r="I15" s="3"/>
      <c r="J15" s="3"/>
      <c r="K15" s="3"/>
      <c r="L15" s="3"/>
      <c r="M15" s="3"/>
      <c r="N15" s="3"/>
      <c r="O15" s="3" t="s">
        <v>23</v>
      </c>
      <c r="P15" s="3"/>
      <c r="Q15" s="3" t="s">
        <v>23</v>
      </c>
      <c r="R15" s="3"/>
      <c r="S15" s="3"/>
      <c r="T15" s="3"/>
      <c r="U15" s="3"/>
      <c r="V15" s="3"/>
      <c r="W15" s="3"/>
    </row>
    <row r="16" spans="1:23" x14ac:dyDescent="0.25">
      <c r="A16" s="2" t="s">
        <v>120</v>
      </c>
      <c r="B16" s="3" t="s">
        <v>42</v>
      </c>
      <c r="C16" s="2" t="str">
        <f>INDEX(รายการสาร!$B:$B,MATCH($B16,รายการสาร!$A:$A,0))</f>
        <v>CHLORHEXIDINE SCRUB 4%</v>
      </c>
      <c r="D16" s="2" t="str">
        <f>INDEX(รายการสาร!$C:$C,MATCH($B16,รายการสาร!$A:$A,0))</f>
        <v>Hexene</v>
      </c>
      <c r="E16" s="2" t="s">
        <v>132</v>
      </c>
      <c r="F16" s="2" t="s">
        <v>122</v>
      </c>
      <c r="G16" s="3"/>
      <c r="H16" s="3" t="s">
        <v>23</v>
      </c>
      <c r="I16" s="3"/>
      <c r="J16" s="3"/>
      <c r="K16" s="3"/>
      <c r="L16" s="3"/>
      <c r="M16" s="3" t="s">
        <v>23</v>
      </c>
      <c r="N16" s="3"/>
      <c r="O16" s="3"/>
      <c r="P16" s="3"/>
      <c r="Q16" s="3" t="s">
        <v>23</v>
      </c>
      <c r="R16" s="3"/>
      <c r="S16" s="3"/>
      <c r="T16" s="3"/>
      <c r="U16" s="3"/>
      <c r="V16" s="3"/>
      <c r="W16" s="3" t="s">
        <v>23</v>
      </c>
    </row>
    <row r="17" spans="1:23" ht="27.6" x14ac:dyDescent="0.25">
      <c r="A17" s="2" t="s">
        <v>120</v>
      </c>
      <c r="B17" s="3" t="s">
        <v>133</v>
      </c>
      <c r="C17" s="2" t="str">
        <f>INDEX(รายการสาร!$B:$B,MATCH($B17,รายการสาร!$A:$A,0))</f>
        <v>6% Hydrogen peroxide</v>
      </c>
      <c r="D17" s="2" t="str">
        <f>INDEX(รายการสาร!$C:$C,MATCH($B17,รายการสาร!$A:$A,0))</f>
        <v>6% Hydrogen peroxide</v>
      </c>
      <c r="E17" s="2" t="s">
        <v>134</v>
      </c>
      <c r="F17" s="2" t="s">
        <v>122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120</v>
      </c>
      <c r="B18" s="3" t="s">
        <v>135</v>
      </c>
      <c r="C18" s="2" t="str">
        <f>INDEX(รายการสาร!$B:$B,MATCH($B18,รายการสาร!$A:$A,0))</f>
        <v>95% alcohol</v>
      </c>
      <c r="D18" s="2" t="str">
        <f>INDEX(รายการสาร!$C:$C,MATCH($B18,รายการสาร!$A:$A,0))</f>
        <v>95% alcohol</v>
      </c>
      <c r="E18" s="2" t="s">
        <v>136</v>
      </c>
      <c r="F18" s="2" t="s">
        <v>122</v>
      </c>
      <c r="G18" s="3"/>
      <c r="H18" s="3" t="s">
        <v>23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 t="s">
        <v>23</v>
      </c>
    </row>
    <row r="19" spans="1:23" ht="55.2" x14ac:dyDescent="0.25">
      <c r="A19" s="2" t="s">
        <v>120</v>
      </c>
      <c r="B19" s="3" t="s">
        <v>137</v>
      </c>
      <c r="C19" s="2" t="str">
        <f>INDEX(รายการสาร!$B:$B,MATCH($B19,รายการสาร!$A:$A,0))</f>
        <v>0.5 % chlorhexidine in water (Hibitane 1:10)</v>
      </c>
      <c r="D19" s="2" t="str">
        <f>INDEX(รายการสาร!$C:$C,MATCH($B19,รายการสาร!$A:$A,0))</f>
        <v>0.5 % chlorhexidine in water (Hibitane 1:10)</v>
      </c>
      <c r="E19" s="2" t="s">
        <v>138</v>
      </c>
      <c r="F19" s="2" t="s">
        <v>122</v>
      </c>
      <c r="G19" s="3"/>
      <c r="H19" s="3"/>
      <c r="I19" s="3"/>
      <c r="J19" s="3"/>
      <c r="K19" s="3"/>
      <c r="L19" s="3"/>
      <c r="M19" s="3"/>
      <c r="N19" s="3"/>
      <c r="O19" s="3" t="s">
        <v>23</v>
      </c>
      <c r="P19" s="3"/>
      <c r="Q19" s="3" t="s">
        <v>23</v>
      </c>
      <c r="R19" s="3"/>
      <c r="S19" s="3"/>
      <c r="T19" s="3"/>
      <c r="U19" s="3"/>
      <c r="V19" s="3"/>
      <c r="W19" s="3"/>
    </row>
    <row r="20" spans="1:23" x14ac:dyDescent="0.25">
      <c r="A20" s="2" t="s">
        <v>120</v>
      </c>
      <c r="B20" s="3" t="s">
        <v>20</v>
      </c>
      <c r="C20" s="2" t="str">
        <f>INDEX(รายการสาร!$B:$B,MATCH($B20,รายการสาร!$A:$A,0))</f>
        <v>คิมแคร์สบู่เหลวล้างมือ</v>
      </c>
      <c r="D20" s="2" t="str">
        <f>INDEX(รายการสาร!$C:$C,MATCH($B20,รายการสาร!$A:$A,0))</f>
        <v>Kimcare</v>
      </c>
      <c r="E20" s="2" t="s">
        <v>111</v>
      </c>
      <c r="F20" s="2" t="s">
        <v>112</v>
      </c>
      <c r="G20" s="3"/>
      <c r="H20" s="3"/>
      <c r="I20" s="3"/>
      <c r="J20" s="3"/>
      <c r="K20" s="3"/>
      <c r="L20" s="3"/>
      <c r="M20" s="3"/>
      <c r="N20" s="3"/>
      <c r="O20" s="3" t="s">
        <v>23</v>
      </c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120</v>
      </c>
      <c r="B21" s="3" t="s">
        <v>45</v>
      </c>
      <c r="C21" s="2" t="str">
        <f>INDEX(รายการสาร!$B:$B,MATCH($B21,รายการสาร!$A:$A,0))</f>
        <v>Alcohol Pad</v>
      </c>
      <c r="D21" s="2" t="str">
        <f>INDEX(รายการสาร!$C:$C,MATCH($B21,รายการสาร!$A:$A,0))</f>
        <v>Neoplast</v>
      </c>
      <c r="E21" s="2" t="s">
        <v>139</v>
      </c>
      <c r="F21" s="2" t="s">
        <v>122</v>
      </c>
      <c r="G21" s="3"/>
      <c r="H21" s="3" t="s">
        <v>23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 t="s">
        <v>23</v>
      </c>
    </row>
    <row r="22" spans="1:23" ht="27.6" x14ac:dyDescent="0.25">
      <c r="A22" s="2" t="s">
        <v>52</v>
      </c>
      <c r="B22" s="3" t="s">
        <v>140</v>
      </c>
      <c r="C22" s="2" t="str">
        <f>INDEX(รายการสาร!$B:$B,MATCH($B22,รายการสาร!$A:$A,0))</f>
        <v>2-butoxyethanol</v>
      </c>
      <c r="D22" s="2" t="str">
        <f>INDEX(รายการสาร!$C:$C,MATCH($B22,รายการสาร!$A:$A,0))</f>
        <v>Glance HC (กล๊านซ์ เอชซี)</v>
      </c>
      <c r="E22" s="2" t="s">
        <v>141</v>
      </c>
      <c r="F22" s="2" t="s">
        <v>142</v>
      </c>
      <c r="G22" s="3"/>
      <c r="H22" s="3"/>
      <c r="I22" s="3"/>
      <c r="J22" s="3"/>
      <c r="K22" s="3" t="s">
        <v>23</v>
      </c>
      <c r="L22" s="3"/>
      <c r="M22" s="3"/>
      <c r="N22" s="3"/>
      <c r="O22" s="3"/>
      <c r="P22" s="3"/>
      <c r="Q22" s="3" t="s">
        <v>23</v>
      </c>
      <c r="R22" s="3"/>
      <c r="S22" s="3" t="s">
        <v>23</v>
      </c>
      <c r="T22" s="3"/>
      <c r="U22" s="3" t="s">
        <v>23</v>
      </c>
      <c r="V22" s="3" t="s">
        <v>23</v>
      </c>
      <c r="W22" s="3"/>
    </row>
    <row r="23" spans="1:23" ht="41.4" x14ac:dyDescent="0.25">
      <c r="A23" s="2" t="s">
        <v>52</v>
      </c>
      <c r="B23" s="3" t="s">
        <v>143</v>
      </c>
      <c r="C23" s="2" t="str">
        <f>INDEX(รายการสาร!$B:$B,MATCH($B23,รายการสาร!$A:$A,0))</f>
        <v>Alcohol ethoxylates</v>
      </c>
      <c r="D23" s="2" t="str">
        <f>INDEX(รายการสาร!$C:$C,MATCH($B23,รายการสาร!$A:$A,0))</f>
        <v>Stride Floral HC (สไตร์ด ฟลอรัล เอชซี)</v>
      </c>
      <c r="E23" s="2" t="s">
        <v>144</v>
      </c>
      <c r="F23" s="2" t="s">
        <v>142</v>
      </c>
      <c r="G23" s="3"/>
      <c r="H23" s="3"/>
      <c r="I23" s="3"/>
      <c r="J23" s="3"/>
      <c r="K23" s="3" t="s">
        <v>23</v>
      </c>
      <c r="L23" s="3"/>
      <c r="M23" s="3"/>
      <c r="N23" s="3"/>
      <c r="O23" s="3"/>
      <c r="P23" s="3"/>
      <c r="Q23" s="3" t="s">
        <v>23</v>
      </c>
      <c r="R23" s="3"/>
      <c r="S23" s="3" t="s">
        <v>23</v>
      </c>
      <c r="T23" s="3"/>
      <c r="U23" s="3"/>
      <c r="V23" s="3" t="s">
        <v>23</v>
      </c>
      <c r="W23" s="3"/>
    </row>
    <row r="24" spans="1:23" x14ac:dyDescent="0.25">
      <c r="A24" s="2" t="s">
        <v>52</v>
      </c>
      <c r="B24" s="3" t="s">
        <v>145</v>
      </c>
      <c r="C24" s="2" t="str">
        <f>INDEX(รายการสาร!$B:$B,MATCH($B24,รายการสาร!$A:$A,0))</f>
        <v>Premia (พรีเมียร์)</v>
      </c>
      <c r="D24" s="2" t="str">
        <f>INDEX(รายการสาร!$C:$C,MATCH($B24,รายการสาร!$A:$A,0))</f>
        <v>Premia (พรีเมียร์)</v>
      </c>
      <c r="E24" s="2" t="s">
        <v>146</v>
      </c>
      <c r="F24" s="2" t="s">
        <v>142</v>
      </c>
      <c r="G24" s="3"/>
      <c r="H24" s="3"/>
      <c r="I24" s="3"/>
      <c r="J24" s="3"/>
      <c r="K24" s="3"/>
      <c r="L24" s="3"/>
      <c r="M24" s="3"/>
      <c r="N24" s="3"/>
      <c r="O24" s="3" t="s">
        <v>23</v>
      </c>
      <c r="P24" s="3"/>
      <c r="Q24" s="3" t="s">
        <v>23</v>
      </c>
      <c r="R24" s="3"/>
      <c r="S24" s="3"/>
      <c r="T24" s="3"/>
      <c r="U24" s="3"/>
      <c r="V24" s="3" t="s">
        <v>23</v>
      </c>
      <c r="W24" s="3"/>
    </row>
    <row r="25" spans="1:23" ht="27.6" x14ac:dyDescent="0.25">
      <c r="A25" s="2" t="s">
        <v>52</v>
      </c>
      <c r="B25" s="3" t="s">
        <v>147</v>
      </c>
      <c r="C25" s="2" t="str">
        <f>INDEX(รายการสาร!$B:$B,MATCH($B25,รายการสาร!$A:$A,0))</f>
        <v>Butyl Cellosolve, Sodium Xylene Sulfonate</v>
      </c>
      <c r="D25" s="2" t="str">
        <f>INDEX(รายการสาร!$C:$C,MATCH($B25,รายการสาร!$A:$A,0))</f>
        <v>J-Shop 600 (เจ-ชอพ 600</v>
      </c>
      <c r="E25" s="2" t="s">
        <v>148</v>
      </c>
      <c r="F25" s="2" t="s">
        <v>142</v>
      </c>
      <c r="G25" s="3"/>
      <c r="H25" s="3"/>
      <c r="I25" s="3"/>
      <c r="J25" s="3"/>
      <c r="K25" s="3" t="s">
        <v>23</v>
      </c>
      <c r="L25" s="3"/>
      <c r="M25" s="3"/>
      <c r="N25" s="3"/>
      <c r="O25" s="3"/>
      <c r="P25" s="3"/>
      <c r="Q25" s="3" t="s">
        <v>23</v>
      </c>
      <c r="R25" s="3"/>
      <c r="S25" s="3" t="s">
        <v>23</v>
      </c>
      <c r="T25" s="3"/>
      <c r="U25" s="3"/>
      <c r="V25" s="3" t="s">
        <v>23</v>
      </c>
      <c r="W25" s="3"/>
    </row>
    <row r="26" spans="1:23" ht="27.6" x14ac:dyDescent="0.25">
      <c r="A26" s="2" t="s">
        <v>52</v>
      </c>
      <c r="B26" s="3" t="s">
        <v>149</v>
      </c>
      <c r="C26" s="2" t="str">
        <f>INDEX(รายการสาร!$B:$B,MATCH($B26,รายการสาร!$A:$A,0))</f>
        <v>Distillates (petroleum), hydrotreated light</v>
      </c>
      <c r="D26" s="2" t="str">
        <f>INDEX(รายการสาร!$C:$C,MATCH($B26,รายการสาร!$A:$A,0))</f>
        <v>Conq-R-Dust (คองเคอร์ดัสท์)</v>
      </c>
      <c r="E26" s="2" t="s">
        <v>150</v>
      </c>
      <c r="F26" s="2" t="s">
        <v>142</v>
      </c>
      <c r="G26" s="3"/>
      <c r="H26" s="3" t="s">
        <v>23</v>
      </c>
      <c r="I26" s="3"/>
      <c r="J26" s="3"/>
      <c r="K26" s="3"/>
      <c r="L26" s="3"/>
      <c r="M26" s="3" t="s">
        <v>23</v>
      </c>
      <c r="N26" s="3" t="s">
        <v>23</v>
      </c>
      <c r="O26" s="3" t="s">
        <v>23</v>
      </c>
      <c r="P26" s="3"/>
      <c r="Q26" s="3" t="s">
        <v>23</v>
      </c>
      <c r="R26" s="3"/>
      <c r="S26" s="3"/>
      <c r="T26" s="3"/>
      <c r="U26" s="3"/>
      <c r="V26" s="3" t="s">
        <v>23</v>
      </c>
      <c r="W26" s="3" t="s">
        <v>23</v>
      </c>
    </row>
    <row r="27" spans="1:23" ht="27.6" x14ac:dyDescent="0.25">
      <c r="A27" s="2" t="s">
        <v>52</v>
      </c>
      <c r="B27" s="3" t="s">
        <v>151</v>
      </c>
      <c r="C27" s="2" t="str">
        <f>INDEX(รายการสาร!$B:$B,MATCH($B27,รายการสาร!$A:$A,0))</f>
        <v>Distillates (petroleum), hydrotreated light</v>
      </c>
      <c r="D27" s="2" t="str">
        <f>INDEX(รายการสาร!$C:$C,MATCH($B27,รายการสาร!$A:$A,0))</f>
        <v>Suma Inox (ซูม่าไอน็อก)</v>
      </c>
      <c r="E27" s="2" t="s">
        <v>148</v>
      </c>
      <c r="F27" s="2" t="s">
        <v>142</v>
      </c>
      <c r="G27" s="3"/>
      <c r="H27" s="3"/>
      <c r="I27" s="3"/>
      <c r="J27" s="3"/>
      <c r="K27" s="3"/>
      <c r="L27" s="3"/>
      <c r="M27" s="3" t="s">
        <v>23</v>
      </c>
      <c r="N27" s="3" t="s">
        <v>23</v>
      </c>
      <c r="O27" s="3" t="s">
        <v>23</v>
      </c>
      <c r="P27" s="3"/>
      <c r="Q27" s="3" t="s">
        <v>23</v>
      </c>
      <c r="R27" s="3"/>
      <c r="S27" s="3" t="s">
        <v>23</v>
      </c>
      <c r="T27" s="3"/>
      <c r="U27" s="3"/>
      <c r="V27" s="3" t="s">
        <v>23</v>
      </c>
      <c r="W27" s="3" t="s">
        <v>23</v>
      </c>
    </row>
    <row r="28" spans="1:23" ht="27.6" x14ac:dyDescent="0.25">
      <c r="A28" s="2" t="s">
        <v>52</v>
      </c>
      <c r="B28" s="3" t="s">
        <v>152</v>
      </c>
      <c r="C28" s="2" t="str">
        <f>INDEX(รายการสาร!$B:$B,MATCH($B28,รายการสาร!$A:$A,0))</f>
        <v>Forward DC ฟอร์เวิด ดีซี</v>
      </c>
      <c r="D28" s="2" t="str">
        <f>INDEX(รายการสาร!$C:$C,MATCH($B28,รายการสาร!$A:$A,0))</f>
        <v>Forward DC ฟอร์เวิด ดีซี</v>
      </c>
      <c r="E28" s="2" t="s">
        <v>153</v>
      </c>
      <c r="F28" s="2" t="s">
        <v>142</v>
      </c>
      <c r="G28" s="3"/>
      <c r="H28" s="3"/>
      <c r="I28" s="3"/>
      <c r="J28" s="3"/>
      <c r="K28" s="3" t="s">
        <v>23</v>
      </c>
      <c r="L28" s="3"/>
      <c r="M28" s="3"/>
      <c r="N28" s="3"/>
      <c r="O28" s="3"/>
      <c r="P28" s="3"/>
      <c r="Q28" s="3" t="s">
        <v>23</v>
      </c>
      <c r="R28" s="3"/>
      <c r="S28" s="3" t="s">
        <v>23</v>
      </c>
      <c r="T28" s="3"/>
      <c r="U28" s="3"/>
      <c r="V28" s="3" t="s">
        <v>23</v>
      </c>
      <c r="W28" s="3"/>
    </row>
    <row r="29" spans="1:23" ht="27.6" x14ac:dyDescent="0.25">
      <c r="A29" s="2" t="s">
        <v>52</v>
      </c>
      <c r="B29" s="3" t="s">
        <v>154</v>
      </c>
      <c r="C29" s="2" t="str">
        <f>INDEX(รายการสาร!$B:$B,MATCH($B29,รายการสาร!$A:$A,0))</f>
        <v>General Purpose Spotter</v>
      </c>
      <c r="D29" s="2" t="str">
        <f>INDEX(รายการสาร!$C:$C,MATCH($B29,รายการสาร!$A:$A,0))</f>
        <v>General Purpose Spotter</v>
      </c>
      <c r="E29" s="2" t="s">
        <v>155</v>
      </c>
      <c r="F29" s="2" t="s">
        <v>142</v>
      </c>
      <c r="G29" s="3"/>
      <c r="H29" s="3"/>
      <c r="I29" s="3"/>
      <c r="J29" s="3"/>
      <c r="K29" s="3"/>
      <c r="L29" s="3"/>
      <c r="M29" s="3"/>
      <c r="N29" s="3"/>
      <c r="O29" s="3" t="s">
        <v>23</v>
      </c>
      <c r="P29" s="3"/>
      <c r="Q29" s="3" t="s">
        <v>23</v>
      </c>
      <c r="R29" s="3"/>
      <c r="S29" s="3" t="s">
        <v>23</v>
      </c>
      <c r="T29" s="3"/>
      <c r="U29" s="3"/>
      <c r="V29" s="3" t="s">
        <v>23</v>
      </c>
      <c r="W29" s="3"/>
    </row>
    <row r="30" spans="1:23" ht="55.2" x14ac:dyDescent="0.25">
      <c r="A30" s="2" t="s">
        <v>52</v>
      </c>
      <c r="B30" s="3" t="s">
        <v>156</v>
      </c>
      <c r="C30" s="2" t="str">
        <f>INDEX(รายการสาร!$B:$B,MATCH($B30,รายการสาร!$A:$A,0))</f>
        <v>Monoethanolamine</v>
      </c>
      <c r="D30" s="2" t="str">
        <f>INDEX(รายการสาร!$C:$C,MATCH($B30,รายการสาร!$A:$A,0))</f>
        <v>GP Forward SC Cleaner (จีพี ฟอร์เวิร์ด เอสซี คลีนเซอร์)</v>
      </c>
      <c r="E30" s="2" t="s">
        <v>157</v>
      </c>
      <c r="F30" s="2" t="s">
        <v>142</v>
      </c>
      <c r="G30" s="3"/>
      <c r="H30" s="3"/>
      <c r="I30" s="3"/>
      <c r="J30" s="3"/>
      <c r="K30" s="3"/>
      <c r="L30" s="3"/>
      <c r="M30" s="3" t="s">
        <v>23</v>
      </c>
      <c r="N30" s="3"/>
      <c r="O30" s="3" t="s">
        <v>23</v>
      </c>
      <c r="P30" s="3"/>
      <c r="Q30" s="3" t="s">
        <v>23</v>
      </c>
      <c r="R30" s="3"/>
      <c r="S30" s="3"/>
      <c r="T30" s="3"/>
      <c r="U30" s="3"/>
      <c r="V30" s="3" t="s">
        <v>23</v>
      </c>
      <c r="W30" s="3"/>
    </row>
    <row r="31" spans="1:23" ht="41.4" x14ac:dyDescent="0.25">
      <c r="A31" s="2" t="s">
        <v>52</v>
      </c>
      <c r="B31" s="3" t="s">
        <v>48</v>
      </c>
      <c r="C31" s="2" t="str">
        <f>INDEX(รายการสาร!$B:$B,MATCH($B31,รายการสาร!$A:$A,0))</f>
        <v>N-Alkyl Dimethylbenzene Ammonium chloride, Tetrasodium Salt of EDTA, Didecyl Dimethyl Ammonium chloride</v>
      </c>
      <c r="D31" s="2" t="str">
        <f>INDEX(รายการสาร!$C:$C,MATCH($B31,รายการสาร!$A:$A,0))</f>
        <v>Virex II 256 (ไวเร็กซ์ II 256)</v>
      </c>
      <c r="E31" s="2" t="s">
        <v>157</v>
      </c>
      <c r="F31" s="2" t="s">
        <v>142</v>
      </c>
      <c r="G31" s="3"/>
      <c r="H31" s="3"/>
      <c r="I31" s="3"/>
      <c r="J31" s="3"/>
      <c r="K31" s="3" t="s">
        <v>23</v>
      </c>
      <c r="L31" s="3"/>
      <c r="M31" s="3"/>
      <c r="N31" s="3" t="s">
        <v>23</v>
      </c>
      <c r="O31" s="3"/>
      <c r="P31" s="3"/>
      <c r="Q31" s="3" t="s">
        <v>23</v>
      </c>
      <c r="R31" s="3" t="s">
        <v>23</v>
      </c>
      <c r="S31" s="3" t="s">
        <v>23</v>
      </c>
      <c r="T31" s="3" t="s">
        <v>23</v>
      </c>
      <c r="U31" s="3"/>
      <c r="V31" s="3" t="s">
        <v>23</v>
      </c>
      <c r="W31" s="3"/>
    </row>
    <row r="32" spans="1:23" ht="27.6" x14ac:dyDescent="0.25">
      <c r="A32" s="2" t="s">
        <v>52</v>
      </c>
      <c r="B32" s="3" t="s">
        <v>158</v>
      </c>
      <c r="C32" s="2" t="str">
        <f>INDEX(รายการสาร!$B:$B,MATCH($B32,รายการสาร!$A:$A,0))</f>
        <v>Jonseal 220 จอห์นซีล 220</v>
      </c>
      <c r="D32" s="2" t="str">
        <f>INDEX(รายการสาร!$C:$C,MATCH($B32,รายการสาร!$A:$A,0))</f>
        <v>Jonseal 220 จอห์นซีล 220</v>
      </c>
      <c r="E32" s="2" t="s">
        <v>148</v>
      </c>
      <c r="F32" s="2" t="s">
        <v>142</v>
      </c>
      <c r="G32" s="3"/>
      <c r="H32" s="3"/>
      <c r="I32" s="3"/>
      <c r="J32" s="3"/>
      <c r="K32" s="3"/>
      <c r="L32" s="3"/>
      <c r="M32" s="3"/>
      <c r="N32" s="3"/>
      <c r="O32" s="3" t="s">
        <v>23</v>
      </c>
      <c r="P32" s="3"/>
      <c r="Q32" s="3" t="s">
        <v>23</v>
      </c>
      <c r="R32" s="3"/>
      <c r="S32" s="3"/>
      <c r="T32" s="3"/>
      <c r="U32" s="3"/>
      <c r="V32" s="3" t="s">
        <v>23</v>
      </c>
      <c r="W32" s="3"/>
    </row>
    <row r="33" spans="1:23" ht="27.6" x14ac:dyDescent="0.25">
      <c r="A33" s="2" t="s">
        <v>52</v>
      </c>
      <c r="B33" s="3" t="s">
        <v>159</v>
      </c>
      <c r="C33" s="2" t="str">
        <f>INDEX(รายการสาร!$B:$B,MATCH($B33,รายการสาร!$A:$A,0))</f>
        <v>Sodium ABS, Sodium silicate, Sodium carbonate</v>
      </c>
      <c r="D33" s="2" t="str">
        <f>INDEX(รายการสาร!$C:$C,MATCH($B33,รายการสาร!$A:$A,0))</f>
        <v>Tempo (เทมโป้)</v>
      </c>
      <c r="E33" s="2" t="s">
        <v>160</v>
      </c>
      <c r="F33" s="2" t="s">
        <v>142</v>
      </c>
      <c r="G33" s="3"/>
      <c r="H33" s="3"/>
      <c r="I33" s="3"/>
      <c r="J33" s="3"/>
      <c r="K33" s="3" t="s">
        <v>23</v>
      </c>
      <c r="L33" s="3"/>
      <c r="M33" s="3"/>
      <c r="N33" s="3"/>
      <c r="O33" s="3"/>
      <c r="P33" s="3"/>
      <c r="Q33" s="3" t="s">
        <v>23</v>
      </c>
      <c r="R33" s="3"/>
      <c r="S33" s="3" t="s">
        <v>23</v>
      </c>
      <c r="T33" s="3"/>
      <c r="U33" s="3"/>
      <c r="V33" s="3" t="s">
        <v>23</v>
      </c>
      <c r="W33" s="3"/>
    </row>
    <row r="34" spans="1:23" ht="27.6" x14ac:dyDescent="0.25">
      <c r="A34" s="2" t="s">
        <v>52</v>
      </c>
      <c r="B34" s="3" t="s">
        <v>161</v>
      </c>
      <c r="C34" s="2" t="str">
        <f>INDEX(รายการสาร!$B:$B,MATCH($B34,รายการสาร!$A:$A,0))</f>
        <v>Sodium Hydroxide, Monoethanolamine</v>
      </c>
      <c r="D34" s="2" t="str">
        <f>INDEX(รายการสาร!$C:$C,MATCH($B34,รายการสาร!$A:$A,0))</f>
        <v>Step Off (สะเต็ปออฟ)</v>
      </c>
      <c r="E34" s="2" t="s">
        <v>148</v>
      </c>
      <c r="F34" s="2" t="s">
        <v>142</v>
      </c>
      <c r="G34" s="3"/>
      <c r="H34" s="3"/>
      <c r="I34" s="3"/>
      <c r="J34" s="3"/>
      <c r="K34" s="3" t="s">
        <v>23</v>
      </c>
      <c r="L34" s="3"/>
      <c r="M34" s="3"/>
      <c r="N34" s="3"/>
      <c r="O34" s="3"/>
      <c r="P34" s="3"/>
      <c r="Q34" s="3" t="s">
        <v>23</v>
      </c>
      <c r="R34" s="3" t="s">
        <v>23</v>
      </c>
      <c r="S34" s="3" t="s">
        <v>23</v>
      </c>
      <c r="T34" s="3"/>
      <c r="U34" s="3"/>
      <c r="V34" s="3" t="s">
        <v>23</v>
      </c>
      <c r="W34" s="3"/>
    </row>
    <row r="35" spans="1:23" ht="41.4" x14ac:dyDescent="0.25">
      <c r="A35" s="2" t="s">
        <v>52</v>
      </c>
      <c r="B35" s="3" t="s">
        <v>162</v>
      </c>
      <c r="C35" s="2" t="str">
        <f>INDEX(รายการสาร!$B:$B,MATCH($B35,รายการสาร!$A:$A,0))</f>
        <v>Taski Omnispray ออมนิสเปรย์</v>
      </c>
      <c r="D35" s="2" t="str">
        <f>INDEX(รายการสาร!$C:$C,MATCH($B35,รายการสาร!$A:$A,0))</f>
        <v>Taski Omnispray ออมนิสเปรย์</v>
      </c>
      <c r="E35" s="2" t="s">
        <v>155</v>
      </c>
      <c r="F35" s="2" t="s">
        <v>142</v>
      </c>
      <c r="G35" s="3"/>
      <c r="H35" s="3"/>
      <c r="I35" s="3"/>
      <c r="J35" s="3"/>
      <c r="K35" s="3"/>
      <c r="L35" s="3"/>
      <c r="M35" s="3"/>
      <c r="N35" s="3"/>
      <c r="O35" s="3" t="s">
        <v>23</v>
      </c>
      <c r="P35" s="3"/>
      <c r="Q35" s="3" t="s">
        <v>23</v>
      </c>
      <c r="R35" s="3"/>
      <c r="S35" s="3"/>
      <c r="T35" s="3"/>
      <c r="U35" s="3"/>
      <c r="V35" s="3" t="s">
        <v>23</v>
      </c>
      <c r="W35" s="3"/>
    </row>
    <row r="36" spans="1:23" ht="27.6" customHeight="1" x14ac:dyDescent="0.25">
      <c r="A36" s="2" t="s">
        <v>52</v>
      </c>
      <c r="B36" s="3" t="s">
        <v>163</v>
      </c>
      <c r="C36" s="2" t="str">
        <f>INDEX(รายการสาร!$B:$B,MATCH($B36,รายการสาร!$A:$A,0))</f>
        <v>Taski Omnistrip ออมนิสตริป</v>
      </c>
      <c r="D36" s="2" t="str">
        <f>INDEX(รายการสาร!$C:$C,MATCH($B36,รายการสาร!$A:$A,0))</f>
        <v>Taski Omnistrip ออมนิสตริป</v>
      </c>
      <c r="E36" s="2" t="s">
        <v>155</v>
      </c>
      <c r="F36" s="2" t="s">
        <v>142</v>
      </c>
      <c r="G36" s="3"/>
      <c r="H36" s="3"/>
      <c r="I36" s="3"/>
      <c r="J36" s="3"/>
      <c r="K36" s="3"/>
      <c r="L36" s="3"/>
      <c r="M36" s="3"/>
      <c r="N36" s="3"/>
      <c r="O36" s="3" t="s">
        <v>23</v>
      </c>
      <c r="P36" s="3"/>
      <c r="Q36" s="3" t="s">
        <v>23</v>
      </c>
      <c r="R36" s="3"/>
      <c r="S36" s="3"/>
      <c r="T36" s="3"/>
      <c r="U36" s="3"/>
      <c r="V36" s="3" t="s">
        <v>23</v>
      </c>
      <c r="W36" s="3"/>
    </row>
    <row r="37" spans="1:23" x14ac:dyDescent="0.25">
      <c r="A37" s="2" t="s">
        <v>52</v>
      </c>
      <c r="B37" s="3" t="s">
        <v>164</v>
      </c>
      <c r="C37" s="2" t="str">
        <f>INDEX(รายการสาร!$B:$B,MATCH($B37,รายการสาร!$A:$A,0))</f>
        <v>เอเมอเริล มัลติ-เซอร์เฟส ครีม คลีนเซอร์</v>
      </c>
      <c r="D37" s="2" t="str">
        <f>INDEX(รายการสาร!$C:$C,MATCH($B37,รายการสาร!$A:$A,0))</f>
        <v>Emerel เอเมอเริล</v>
      </c>
      <c r="E37" s="2" t="s">
        <v>165</v>
      </c>
      <c r="F37" s="2" t="s">
        <v>142</v>
      </c>
      <c r="G37" s="3"/>
      <c r="H37" s="3"/>
      <c r="I37" s="3"/>
      <c r="J37" s="3"/>
      <c r="K37" s="3" t="s">
        <v>23</v>
      </c>
      <c r="L37" s="3"/>
      <c r="M37" s="3"/>
      <c r="N37" s="3"/>
      <c r="O37" s="3"/>
      <c r="P37" s="3"/>
      <c r="Q37" s="3" t="s">
        <v>23</v>
      </c>
      <c r="R37" s="3"/>
      <c r="S37" s="3" t="s">
        <v>23</v>
      </c>
      <c r="T37" s="3"/>
      <c r="U37" s="3"/>
      <c r="V37" s="3"/>
      <c r="W37" s="3"/>
    </row>
    <row r="38" spans="1:23" ht="41.4" customHeight="1" x14ac:dyDescent="0.25">
      <c r="A38" s="2" t="s">
        <v>52</v>
      </c>
      <c r="B38" s="3" t="s">
        <v>166</v>
      </c>
      <c r="C38" s="2" t="str">
        <f>INDEX(รายการสาร!$B:$B,MATCH($B38,รายการสาร!$A:$A,0))</f>
        <v>Taski Metal Polish ทัสกิ เมทอล โพลิส</v>
      </c>
      <c r="D38" s="2" t="str">
        <f>INDEX(รายการสาร!$C:$C,MATCH($B38,รายการสาร!$A:$A,0))</f>
        <v>Taski Metal Polish ทัสกิ เมทอล โพลิส</v>
      </c>
      <c r="E38" s="2" t="s">
        <v>167</v>
      </c>
      <c r="F38" s="2" t="s">
        <v>142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 t="s">
        <v>23</v>
      </c>
      <c r="R38" s="3"/>
      <c r="S38" s="3" t="s">
        <v>23</v>
      </c>
      <c r="T38" s="3"/>
      <c r="U38" s="3"/>
      <c r="V38" s="3" t="s">
        <v>23</v>
      </c>
      <c r="W38" s="3"/>
    </row>
    <row r="39" spans="1:23" ht="27.6" customHeight="1" x14ac:dyDescent="0.25">
      <c r="A39" s="2" t="s">
        <v>52</v>
      </c>
      <c r="B39" s="3" t="s">
        <v>168</v>
      </c>
      <c r="C39" s="2" t="str">
        <f>INDEX(รายการสาร!$B:$B,MATCH($B39,รายการสาร!$A:$A,0))</f>
        <v>แคล็กซ์ ผงซักฟอกด้วยเครื่อง</v>
      </c>
      <c r="D39" s="2" t="str">
        <f>INDEX(รายการสาร!$C:$C,MATCH($B39,รายการสาร!$A:$A,0))</f>
        <v>CLAX powder แคล็กซ์พาวเดอร์</v>
      </c>
      <c r="E39" s="2"/>
      <c r="F39" s="2" t="s">
        <v>142</v>
      </c>
      <c r="G39" s="3"/>
      <c r="H39" s="3"/>
      <c r="I39" s="3"/>
      <c r="J39" s="3"/>
      <c r="K39" s="3"/>
      <c r="L39" s="3"/>
      <c r="M39" s="3"/>
      <c r="N39" s="3"/>
      <c r="O39" s="3" t="s">
        <v>23</v>
      </c>
      <c r="P39" s="3"/>
      <c r="Q39" s="3" t="s">
        <v>23</v>
      </c>
      <c r="R39" s="3" t="s">
        <v>23</v>
      </c>
      <c r="S39" s="3"/>
      <c r="T39" s="3"/>
      <c r="U39" s="3"/>
      <c r="V39" s="3"/>
      <c r="W39" s="3"/>
    </row>
    <row r="40" spans="1:23" x14ac:dyDescent="0.25">
      <c r="A40" s="2" t="s">
        <v>52</v>
      </c>
      <c r="B40" s="3" t="s">
        <v>169</v>
      </c>
      <c r="C40" s="2" t="str">
        <f>INDEX(รายการสาร!$B:$B,MATCH($B40,รายการสาร!$A:$A,0))</f>
        <v>HDF cleaner</v>
      </c>
      <c r="D40" s="2" t="str">
        <f>INDEX(รายการสาร!$C:$C,MATCH($B40,รายการสาร!$A:$A,0))</f>
        <v>HDF cleaner</v>
      </c>
      <c r="E40" s="2"/>
      <c r="F40" s="2" t="s">
        <v>142</v>
      </c>
      <c r="G40" s="3"/>
      <c r="H40" s="3"/>
      <c r="I40" s="3"/>
      <c r="J40" s="3"/>
      <c r="K40" s="3" t="s">
        <v>23</v>
      </c>
      <c r="L40" s="3"/>
      <c r="M40" s="3"/>
      <c r="N40" s="3"/>
      <c r="O40" s="3"/>
      <c r="P40" s="3"/>
      <c r="Q40" s="3" t="s">
        <v>23</v>
      </c>
      <c r="R40" s="3"/>
      <c r="S40" s="3" t="s">
        <v>23</v>
      </c>
      <c r="T40" s="3"/>
      <c r="U40" s="3"/>
      <c r="V40" s="3" t="s">
        <v>23</v>
      </c>
      <c r="W40" s="3"/>
    </row>
    <row r="41" spans="1:23" ht="27.6" customHeight="1" x14ac:dyDescent="0.25">
      <c r="A41" s="2" t="s">
        <v>52</v>
      </c>
      <c r="B41" s="3" t="s">
        <v>170</v>
      </c>
      <c r="C41" s="2" t="str">
        <f>INDEX(รายการสาร!$B:$B,MATCH($B41,รายการสาร!$A:$A,0))</f>
        <v>Crew Lime and Scale Remover</v>
      </c>
      <c r="D41" s="2" t="str">
        <f>INDEX(รายการสาร!$C:$C,MATCH($B41,รายการสาร!$A:$A,0))</f>
        <v>Crew Lime and Scale Remover</v>
      </c>
      <c r="E41" s="2"/>
      <c r="F41" s="2" t="s">
        <v>142</v>
      </c>
      <c r="G41" s="3"/>
      <c r="H41" s="3"/>
      <c r="I41" s="3"/>
      <c r="J41" s="3"/>
      <c r="K41" s="3" t="s">
        <v>23</v>
      </c>
      <c r="L41" s="3"/>
      <c r="M41" s="3"/>
      <c r="N41" s="3"/>
      <c r="O41" s="3" t="s">
        <v>23</v>
      </c>
      <c r="P41" s="3"/>
      <c r="Q41" s="3"/>
      <c r="R41" s="3"/>
      <c r="S41" s="3"/>
      <c r="T41" s="3"/>
      <c r="U41" s="3"/>
      <c r="V41" s="3" t="s">
        <v>23</v>
      </c>
      <c r="W41" s="3"/>
    </row>
    <row r="42" spans="1:23" x14ac:dyDescent="0.25">
      <c r="A42" s="2" t="s">
        <v>52</v>
      </c>
      <c r="B42" s="3" t="s">
        <v>20</v>
      </c>
      <c r="C42" s="2" t="str">
        <f>INDEX(รายการสาร!$B:$B,MATCH($B42,รายการสาร!$A:$A,0))</f>
        <v>คิมแคร์สบู่เหลวล้างมือ</v>
      </c>
      <c r="D42" s="2" t="str">
        <f>INDEX(รายการสาร!$C:$C,MATCH($B42,รายการสาร!$A:$A,0))</f>
        <v>Kimcare</v>
      </c>
      <c r="E42" s="2" t="s">
        <v>171</v>
      </c>
      <c r="F42" s="2" t="s">
        <v>142</v>
      </c>
      <c r="G42" s="3"/>
      <c r="H42" s="3"/>
      <c r="I42" s="3"/>
      <c r="J42" s="3"/>
      <c r="K42" s="3"/>
      <c r="L42" s="3"/>
      <c r="M42" s="3"/>
      <c r="N42" s="3"/>
      <c r="O42" s="3" t="s">
        <v>23</v>
      </c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2" t="s">
        <v>52</v>
      </c>
      <c r="B43" s="3" t="s">
        <v>172</v>
      </c>
      <c r="C43" s="2" t="str">
        <f>INDEX(รายการสาร!$B:$B,MATCH($B43,รายการสาร!$A:$A,0))</f>
        <v>Glade Spa Fresh</v>
      </c>
      <c r="D43" s="2">
        <f>INDEX(รายการสาร!$C:$C,MATCH($B43,รายการสาร!$A:$A,0))</f>
        <v>0</v>
      </c>
      <c r="E43" s="2" t="s">
        <v>173</v>
      </c>
      <c r="F43" s="2" t="s">
        <v>142</v>
      </c>
      <c r="G43" s="3"/>
      <c r="H43" s="3" t="s">
        <v>23</v>
      </c>
      <c r="I43" s="3"/>
      <c r="J43" s="3"/>
      <c r="K43" s="3"/>
      <c r="L43" s="3"/>
      <c r="M43" s="3"/>
      <c r="N43" s="3"/>
      <c r="O43" s="3" t="s">
        <v>23</v>
      </c>
      <c r="P43" s="3"/>
      <c r="Q43" s="3"/>
      <c r="R43" s="3"/>
      <c r="S43" s="3"/>
      <c r="T43" s="3"/>
      <c r="U43" s="3"/>
      <c r="V43" s="3"/>
      <c r="W43" s="3" t="s">
        <v>23</v>
      </c>
    </row>
    <row r="44" spans="1:23" ht="41.4" customHeight="1" x14ac:dyDescent="0.25">
      <c r="A44" s="2" t="s">
        <v>52</v>
      </c>
      <c r="B44" s="3" t="s">
        <v>174</v>
      </c>
      <c r="C44" s="2" t="str">
        <f>INDEX(รายการสาร!$B:$B,MATCH($B44,รายการสาร!$A:$A,0))</f>
        <v>ไลปอนเอฟและ Marvin น้ำยาล้างจาน</v>
      </c>
      <c r="D44" s="2" t="str">
        <f>INDEX(รายการสาร!$C:$C,MATCH($B44,รายการสาร!$A:$A,0))</f>
        <v>ไลปอนเอฟ หรือ มาวิน หรือ ซันไลต์</v>
      </c>
      <c r="E44" s="2" t="s">
        <v>175</v>
      </c>
      <c r="F44" s="2" t="s">
        <v>142</v>
      </c>
      <c r="G44" s="3"/>
      <c r="H44" s="3"/>
      <c r="I44" s="3"/>
      <c r="J44" s="3"/>
      <c r="K44" s="3"/>
      <c r="L44" s="3"/>
      <c r="M44" s="3"/>
      <c r="N44" s="3"/>
      <c r="O44" s="3" t="s">
        <v>23</v>
      </c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2" t="s">
        <v>52</v>
      </c>
      <c r="B45" s="3" t="s">
        <v>176</v>
      </c>
      <c r="C45" s="2" t="str">
        <f>INDEX(รายการสาร!$B:$B,MATCH($B45,รายการสาร!$A:$A,0))</f>
        <v>น้ำมันหอมละเหย</v>
      </c>
      <c r="D45" s="2" t="str">
        <f>INDEX(รายการสาร!$C:$C,MATCH($B45,รายการสาร!$A:$A,0))</f>
        <v>ยูคาลิปตัส</v>
      </c>
      <c r="E45" s="2" t="s">
        <v>177</v>
      </c>
      <c r="F45" s="2" t="s">
        <v>142</v>
      </c>
      <c r="G45" s="3"/>
      <c r="H45" s="3" t="s">
        <v>23</v>
      </c>
      <c r="I45" s="3"/>
      <c r="J45" s="3"/>
      <c r="K45" s="3"/>
      <c r="L45" s="3"/>
      <c r="M45" s="3"/>
      <c r="N45" s="3"/>
      <c r="O45" s="3" t="s">
        <v>23</v>
      </c>
      <c r="P45" s="3"/>
      <c r="Q45" s="3"/>
      <c r="R45" s="3"/>
      <c r="S45" s="3"/>
      <c r="T45" s="3"/>
      <c r="U45" s="3"/>
      <c r="V45" s="3"/>
      <c r="W45" s="3" t="s">
        <v>23</v>
      </c>
    </row>
    <row r="46" spans="1:23" ht="27.6" customHeight="1" x14ac:dyDescent="0.25">
      <c r="A46" s="2" t="s">
        <v>52</v>
      </c>
      <c r="B46" s="3" t="s">
        <v>178</v>
      </c>
      <c r="C46" s="2" t="str">
        <f>INDEX(รายการสาร!$B:$B,MATCH($B46,รายการสาร!$A:$A,0))</f>
        <v>VirKon disinfectant</v>
      </c>
      <c r="D46" s="2" t="str">
        <f>INDEX(รายการสาร!$C:$C,MATCH($B46,รายการสาร!$A:$A,0))</f>
        <v>VirKon disinfectant</v>
      </c>
      <c r="E46" s="2" t="s">
        <v>179</v>
      </c>
      <c r="F46" s="2" t="s">
        <v>142</v>
      </c>
      <c r="G46" s="3"/>
      <c r="H46" s="3"/>
      <c r="I46" s="3"/>
      <c r="J46" s="3"/>
      <c r="K46" s="3"/>
      <c r="L46" s="3"/>
      <c r="M46" s="3"/>
      <c r="N46" s="3"/>
      <c r="O46" s="3" t="s">
        <v>23</v>
      </c>
      <c r="P46" s="3"/>
      <c r="Q46" s="3" t="s">
        <v>23</v>
      </c>
      <c r="R46" s="3" t="s">
        <v>23</v>
      </c>
      <c r="S46" s="3" t="s">
        <v>23</v>
      </c>
      <c r="T46" s="3"/>
      <c r="U46" s="3"/>
      <c r="V46" s="3"/>
      <c r="W46" s="3"/>
    </row>
    <row r="47" spans="1:23" ht="27.6" customHeight="1" x14ac:dyDescent="0.25">
      <c r="A47" s="2" t="s">
        <v>52</v>
      </c>
      <c r="B47" s="3" t="s">
        <v>180</v>
      </c>
      <c r="C47" s="2" t="str">
        <f>INDEX(รายการสาร!$B:$B,MATCH($B47,รายการสาร!$A:$A,0))</f>
        <v>Gel ล้างมือติดผนัง</v>
      </c>
      <c r="D47" s="2" t="str">
        <f>INDEX(รายการสาร!$C:$C,MATCH($B47,รายการสาร!$A:$A,0))</f>
        <v>Purell (Hand Sanitizer)</v>
      </c>
      <c r="E47" s="2" t="s">
        <v>181</v>
      </c>
      <c r="F47" s="2" t="s">
        <v>142</v>
      </c>
      <c r="G47" s="3"/>
      <c r="H47" s="3" t="s">
        <v>23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 t="s">
        <v>23</v>
      </c>
    </row>
    <row r="48" spans="1:23" ht="41.4" customHeight="1" x14ac:dyDescent="0.25">
      <c r="A48" s="2" t="s">
        <v>52</v>
      </c>
      <c r="B48" s="3" t="s">
        <v>182</v>
      </c>
      <c r="C48" s="2" t="str">
        <f>INDEX(รายการสาร!$B:$B,MATCH($B48,รายการสาร!$A:$A,0))</f>
        <v>Suma SaturnD4.9( ซูม่าแซทเทิร์นดี4.9)</v>
      </c>
      <c r="D48" s="2" t="str">
        <f>INDEX(รายการสาร!$C:$C,MATCH($B48,รายการสาร!$A:$A,0))</f>
        <v>Suma Saturn D4.9 ( ซูม่าแซทเทิร์นดี4.9)</v>
      </c>
      <c r="E48" s="2" t="s">
        <v>148</v>
      </c>
      <c r="F48" s="2" t="s">
        <v>142</v>
      </c>
      <c r="G48" s="3"/>
      <c r="H48" s="3"/>
      <c r="I48" s="3"/>
      <c r="J48" s="3"/>
      <c r="K48" s="3" t="s">
        <v>23</v>
      </c>
      <c r="L48" s="3"/>
      <c r="M48" s="3"/>
      <c r="N48" s="3" t="s">
        <v>23</v>
      </c>
      <c r="O48" s="3"/>
      <c r="P48" s="3"/>
      <c r="Q48" s="3" t="s">
        <v>23</v>
      </c>
      <c r="R48" s="3"/>
      <c r="S48" s="3"/>
      <c r="T48" s="3"/>
      <c r="U48" s="3"/>
      <c r="V48" s="3" t="s">
        <v>23</v>
      </c>
      <c r="W48" s="3"/>
    </row>
    <row r="49" spans="1:23" ht="41.4" customHeight="1" x14ac:dyDescent="0.25">
      <c r="A49" s="2" t="s">
        <v>52</v>
      </c>
      <c r="B49" s="3" t="s">
        <v>183</v>
      </c>
      <c r="C49" s="2" t="str">
        <f>INDEX(รายการสาร!$B:$B,MATCH($B49,รายการสาร!$A:$A,0))</f>
        <v>Taski Jontec ESD(ทัสกิ จอนเทค อีเอสดี )</v>
      </c>
      <c r="D49" s="2" t="str">
        <f>INDEX(รายการสาร!$C:$C,MATCH($B49,รายการสาร!$A:$A,0))</f>
        <v>Taski Jontec ESD(ทัสกิ จอนเทค อีเอสดี )</v>
      </c>
      <c r="E49" s="2" t="s">
        <v>148</v>
      </c>
      <c r="F49" s="2" t="s">
        <v>142</v>
      </c>
      <c r="G49" s="3"/>
      <c r="H49" s="3"/>
      <c r="I49" s="3"/>
      <c r="J49" s="3"/>
      <c r="K49" s="3"/>
      <c r="L49" s="3"/>
      <c r="M49" s="3"/>
      <c r="N49" s="3" t="s">
        <v>23</v>
      </c>
      <c r="O49" s="3"/>
      <c r="P49" s="3"/>
      <c r="Q49" s="3"/>
      <c r="R49" s="3"/>
      <c r="S49" s="3"/>
      <c r="T49" s="3"/>
      <c r="U49" s="3"/>
      <c r="V49" s="3" t="s">
        <v>23</v>
      </c>
      <c r="W49" s="3"/>
    </row>
    <row r="50" spans="1:23" x14ac:dyDescent="0.25">
      <c r="A50" s="2" t="s">
        <v>52</v>
      </c>
      <c r="B50" s="3" t="s">
        <v>184</v>
      </c>
      <c r="C50" s="2" t="str">
        <f>INDEX(รายการสาร!$B:$B,MATCH($B50,รายการสาร!$A:$A,0))</f>
        <v>Oxivir TB (Benzyl alcohol)</v>
      </c>
      <c r="D50" s="2" t="str">
        <f>INDEX(รายการสาร!$C:$C,MATCH($B50,รายการสาร!$A:$A,0))</f>
        <v>Oxivir TB</v>
      </c>
      <c r="E50" s="2" t="s">
        <v>185</v>
      </c>
      <c r="F50" s="2" t="s">
        <v>142</v>
      </c>
      <c r="G50" s="3"/>
      <c r="H50" s="3" t="s">
        <v>23</v>
      </c>
      <c r="I50" s="3"/>
      <c r="J50" s="3"/>
      <c r="K50" s="3"/>
      <c r="L50" s="3"/>
      <c r="M50" s="3"/>
      <c r="N50" s="3"/>
      <c r="O50" s="3" t="s">
        <v>23</v>
      </c>
      <c r="P50" s="3"/>
      <c r="Q50" s="3" t="s">
        <v>23</v>
      </c>
      <c r="R50" s="3" t="s">
        <v>23</v>
      </c>
      <c r="S50" s="3"/>
      <c r="T50" s="3"/>
      <c r="U50" s="3"/>
      <c r="V50" s="3"/>
      <c r="W50" s="3" t="s">
        <v>23</v>
      </c>
    </row>
    <row r="51" spans="1:23" x14ac:dyDescent="0.25">
      <c r="A51" s="2" t="s">
        <v>56</v>
      </c>
      <c r="B51" s="3" t="s">
        <v>186</v>
      </c>
      <c r="C51" s="2" t="str">
        <f>INDEX(รายการสาร!$B:$B,MATCH($B51,รายการสาร!$A:$A,0))</f>
        <v>Trisodium nitrilotriacetate, Sodium Hydroxide</v>
      </c>
      <c r="D51" s="2" t="str">
        <f>INDEX(รายการสาร!$C:$C,MATCH($B51,รายการสาร!$A:$A,0))</f>
        <v>Suma Special</v>
      </c>
      <c r="E51" s="2" t="s">
        <v>187</v>
      </c>
      <c r="F51" s="2" t="s">
        <v>188</v>
      </c>
      <c r="G51" s="3"/>
      <c r="H51" s="3"/>
      <c r="I51" s="3"/>
      <c r="J51" s="3"/>
      <c r="K51" s="3" t="s">
        <v>23</v>
      </c>
      <c r="L51" s="3"/>
      <c r="M51" s="3"/>
      <c r="N51" s="3"/>
      <c r="O51" s="3"/>
      <c r="P51" s="3"/>
      <c r="Q51" s="3" t="s">
        <v>23</v>
      </c>
      <c r="R51" s="3" t="s">
        <v>23</v>
      </c>
      <c r="S51" s="3" t="s">
        <v>23</v>
      </c>
      <c r="T51" s="3"/>
      <c r="U51" s="3"/>
      <c r="V51" s="3" t="s">
        <v>23</v>
      </c>
      <c r="W51" s="3"/>
    </row>
    <row r="52" spans="1:23" x14ac:dyDescent="0.25">
      <c r="A52" s="2" t="s">
        <v>56</v>
      </c>
      <c r="B52" s="3" t="s">
        <v>189</v>
      </c>
      <c r="C52" s="2" t="str">
        <f>INDEX(รายการสาร!$B:$B,MATCH($B52,รายการสาร!$A:$A,0))</f>
        <v>Alkyl alcohol alkoxylate</v>
      </c>
      <c r="D52" s="2" t="str">
        <f>INDEX(รายการสาร!$C:$C,MATCH($B52,รายการสาร!$A:$A,0))</f>
        <v>Suma Quick Dri</v>
      </c>
      <c r="E52" s="2" t="s">
        <v>190</v>
      </c>
      <c r="F52" s="2" t="s">
        <v>188</v>
      </c>
      <c r="G52" s="3"/>
      <c r="H52" s="3"/>
      <c r="I52" s="3"/>
      <c r="J52" s="3"/>
      <c r="K52" s="3"/>
      <c r="L52" s="3"/>
      <c r="M52" s="3"/>
      <c r="N52" s="3"/>
      <c r="O52" s="3"/>
      <c r="P52" s="3" t="s">
        <v>23</v>
      </c>
      <c r="Q52" s="3"/>
      <c r="R52" s="3"/>
      <c r="S52" s="3" t="s">
        <v>23</v>
      </c>
      <c r="T52" s="3"/>
      <c r="U52" s="3"/>
      <c r="V52" s="3" t="s">
        <v>23</v>
      </c>
      <c r="W52" s="3"/>
    </row>
    <row r="53" spans="1:23" x14ac:dyDescent="0.25">
      <c r="A53" s="2" t="s">
        <v>56</v>
      </c>
      <c r="B53" s="3" t="s">
        <v>191</v>
      </c>
      <c r="C53" s="2" t="str">
        <f>INDEX(รายการสาร!$B:$B,MATCH($B53,รายการสาร!$A:$A,0))</f>
        <v>Sodium alkylbenzene sulphonate</v>
      </c>
      <c r="D53" s="2" t="str">
        <f>INDEX(รายการสาร!$C:$C,MATCH($B53,รายการสาร!$A:$A,0))</f>
        <v>Suma Star</v>
      </c>
      <c r="E53" s="2" t="s">
        <v>192</v>
      </c>
      <c r="F53" s="2" t="s">
        <v>188</v>
      </c>
      <c r="G53" s="3"/>
      <c r="H53" s="3"/>
      <c r="I53" s="3"/>
      <c r="J53" s="3"/>
      <c r="K53" s="3"/>
      <c r="L53" s="3"/>
      <c r="M53" s="3"/>
      <c r="N53" s="3"/>
      <c r="O53" s="3" t="s">
        <v>23</v>
      </c>
      <c r="P53" s="3"/>
      <c r="Q53" s="3" t="s">
        <v>23</v>
      </c>
      <c r="R53" s="3"/>
      <c r="S53" s="3" t="s">
        <v>23</v>
      </c>
      <c r="T53" s="3"/>
      <c r="U53" s="3"/>
      <c r="V53" s="3" t="s">
        <v>23</v>
      </c>
      <c r="W53" s="3"/>
    </row>
    <row r="54" spans="1:23" ht="27.6" customHeight="1" x14ac:dyDescent="0.25">
      <c r="A54" s="2" t="s">
        <v>56</v>
      </c>
      <c r="B54" s="3" t="s">
        <v>193</v>
      </c>
      <c r="C54" s="2" t="str">
        <f>INDEX(รายการสาร!$B:$B,MATCH($B54,รายการสาร!$A:$A,0))</f>
        <v>Dodeccyl Benzene Sulfonic Acid ,Sodium Xylene Sulfonate , Ethoxylated alcohol</v>
      </c>
      <c r="D54" s="2" t="str">
        <f>INDEX(รายการสาร!$C:$C,MATCH($B54,รายการสาร!$A:$A,0))</f>
        <v>Suma Stopp Slip</v>
      </c>
      <c r="E54" s="2" t="s">
        <v>194</v>
      </c>
      <c r="F54" s="2" t="s">
        <v>188</v>
      </c>
      <c r="G54" s="3"/>
      <c r="H54" s="3"/>
      <c r="I54" s="3"/>
      <c r="J54" s="3"/>
      <c r="K54" s="3"/>
      <c r="L54" s="3"/>
      <c r="M54" s="3"/>
      <c r="N54" s="3"/>
      <c r="O54" s="3" t="s">
        <v>23</v>
      </c>
      <c r="P54" s="3"/>
      <c r="Q54" s="3" t="s">
        <v>23</v>
      </c>
      <c r="R54" s="3"/>
      <c r="S54" s="3" t="s">
        <v>23</v>
      </c>
      <c r="T54" s="3"/>
      <c r="U54" s="3"/>
      <c r="V54" s="3" t="s">
        <v>23</v>
      </c>
      <c r="W54" s="3"/>
    </row>
    <row r="55" spans="1:23" ht="27.6" customHeight="1" x14ac:dyDescent="0.25">
      <c r="A55" s="2" t="s">
        <v>56</v>
      </c>
      <c r="B55" s="3" t="s">
        <v>195</v>
      </c>
      <c r="C55" s="2" t="str">
        <f>INDEX(รายการสาร!$B:$B,MATCH($B55,รายการสาร!$A:$A,0))</f>
        <v>Sodium Metasilicate ,Sodium Hydroxide ,Anionics</v>
      </c>
      <c r="D55" s="2" t="str">
        <f>INDEX(รายการสาร!$C:$C,MATCH($B55,รายการสาร!$A:$A,0))</f>
        <v>Suma Break Up HD</v>
      </c>
      <c r="E55" s="2" t="s">
        <v>194</v>
      </c>
      <c r="F55" s="2" t="s">
        <v>188</v>
      </c>
      <c r="G55" s="3"/>
      <c r="H55" s="3"/>
      <c r="I55" s="3"/>
      <c r="J55" s="3"/>
      <c r="K55" s="3" t="s">
        <v>23</v>
      </c>
      <c r="L55" s="3"/>
      <c r="M55" s="3"/>
      <c r="N55" s="3"/>
      <c r="O55" s="3"/>
      <c r="P55" s="3"/>
      <c r="Q55" s="3" t="s">
        <v>23</v>
      </c>
      <c r="R55" s="3" t="s">
        <v>23</v>
      </c>
      <c r="S55" s="3" t="s">
        <v>23</v>
      </c>
      <c r="T55" s="3"/>
      <c r="U55" s="3"/>
      <c r="V55" s="3" t="s">
        <v>23</v>
      </c>
      <c r="W55" s="3"/>
    </row>
    <row r="56" spans="1:23" x14ac:dyDescent="0.25">
      <c r="A56" s="2" t="s">
        <v>56</v>
      </c>
      <c r="B56" s="3" t="s">
        <v>196</v>
      </c>
      <c r="C56" s="2" t="str">
        <f>INDEX(รายการสาร!$B:$B,MATCH($B56,รายการสาร!$A:$A,0))</f>
        <v>Sodium Hypochlorite</v>
      </c>
      <c r="D56" s="2" t="str">
        <f>INDEX(รายการสาร!$C:$C,MATCH($B56,รายการสาร!$A:$A,0))</f>
        <v>Suma Saturn</v>
      </c>
      <c r="E56" s="2" t="s">
        <v>194</v>
      </c>
      <c r="F56" s="2" t="s">
        <v>188</v>
      </c>
      <c r="G56" s="3"/>
      <c r="H56" s="3"/>
      <c r="I56" s="3"/>
      <c r="J56" s="3"/>
      <c r="K56" s="3" t="s">
        <v>23</v>
      </c>
      <c r="L56" s="3"/>
      <c r="M56" s="3"/>
      <c r="N56" s="3"/>
      <c r="O56" s="3"/>
      <c r="P56" s="3"/>
      <c r="Q56" s="3" t="s">
        <v>23</v>
      </c>
      <c r="R56" s="3"/>
      <c r="S56" s="3" t="s">
        <v>23</v>
      </c>
      <c r="T56" s="3"/>
      <c r="U56" s="3"/>
      <c r="V56" s="3" t="s">
        <v>23</v>
      </c>
      <c r="W56" s="3"/>
    </row>
    <row r="57" spans="1:23" ht="41.4" customHeight="1" x14ac:dyDescent="0.25">
      <c r="A57" s="2" t="s">
        <v>56</v>
      </c>
      <c r="B57" s="3" t="s">
        <v>197</v>
      </c>
      <c r="C57" s="2" t="str">
        <f>INDEX(รายการสาร!$B:$B,MATCH($B57,รายการสาร!$A:$A,0))</f>
        <v>N-Alkyl Dimethyl Benzyl ammonium chloride ,N-Alkyl Dimethyl Ethylbenzyl ammonium chloride</v>
      </c>
      <c r="D57" s="2" t="str">
        <f>INDEX(รายการสาร!$C:$C,MATCH($B57,รายการสาร!$A:$A,0))</f>
        <v>Suma J512</v>
      </c>
      <c r="E57" s="2" t="s">
        <v>194</v>
      </c>
      <c r="F57" s="2" t="s">
        <v>188</v>
      </c>
      <c r="G57" s="3"/>
      <c r="H57" s="3"/>
      <c r="I57" s="3"/>
      <c r="J57" s="3"/>
      <c r="K57" s="3" t="s">
        <v>23</v>
      </c>
      <c r="L57" s="3"/>
      <c r="M57" s="3"/>
      <c r="N57" s="3"/>
      <c r="O57" s="3"/>
      <c r="P57" s="3"/>
      <c r="Q57" s="3" t="s">
        <v>23</v>
      </c>
      <c r="R57" s="3"/>
      <c r="S57" s="3" t="s">
        <v>23</v>
      </c>
      <c r="T57" s="3"/>
      <c r="U57" s="3"/>
      <c r="V57" s="3" t="s">
        <v>23</v>
      </c>
      <c r="W57" s="3"/>
    </row>
    <row r="58" spans="1:23" x14ac:dyDescent="0.25">
      <c r="A58" s="2" t="s">
        <v>56</v>
      </c>
      <c r="B58" s="3" t="s">
        <v>53</v>
      </c>
      <c r="C58" s="2" t="str">
        <f>INDEX(รายการสาร!$B:$B,MATCH($B58,รายการสาร!$A:$A,0))</f>
        <v>Distillates (petroleum), hydrotreated light</v>
      </c>
      <c r="D58" s="2" t="str">
        <f>INDEX(รายการสาร!$C:$C,MATCH($B58,รายการสาร!$A:$A,0))</f>
        <v>Suma Inox</v>
      </c>
      <c r="E58" s="2" t="s">
        <v>194</v>
      </c>
      <c r="F58" s="2" t="s">
        <v>188</v>
      </c>
      <c r="G58" s="3"/>
      <c r="H58" s="3"/>
      <c r="I58" s="3"/>
      <c r="J58" s="3"/>
      <c r="K58" s="3"/>
      <c r="L58" s="3"/>
      <c r="M58" s="3"/>
      <c r="N58" s="3"/>
      <c r="O58" s="3" t="s">
        <v>23</v>
      </c>
      <c r="P58" s="3"/>
      <c r="Q58" s="3" t="s">
        <v>23</v>
      </c>
      <c r="R58" s="3"/>
      <c r="S58" s="3" t="s">
        <v>23</v>
      </c>
      <c r="T58" s="3"/>
      <c r="U58" s="3"/>
      <c r="V58" s="3" t="s">
        <v>23</v>
      </c>
      <c r="W58" s="3"/>
    </row>
    <row r="59" spans="1:23" x14ac:dyDescent="0.25">
      <c r="A59" s="2" t="s">
        <v>56</v>
      </c>
      <c r="B59" s="3" t="s">
        <v>198</v>
      </c>
      <c r="C59" s="2" t="str">
        <f>INDEX(รายการสาร!$B:$B,MATCH($B59,รายการสาร!$A:$A,0))</f>
        <v>suma grill gell</v>
      </c>
      <c r="D59" s="2" t="str">
        <f>INDEX(รายการสาร!$C:$C,MATCH($B59,รายการสาร!$A:$A,0))</f>
        <v>suma grill gell</v>
      </c>
      <c r="E59" s="2"/>
      <c r="F59" s="2"/>
      <c r="G59" s="3"/>
      <c r="H59" s="3"/>
      <c r="I59" s="3"/>
      <c r="J59" s="3"/>
      <c r="K59" s="3" t="s">
        <v>23</v>
      </c>
      <c r="L59" s="3"/>
      <c r="M59" s="3"/>
      <c r="N59" s="3"/>
      <c r="O59" s="3"/>
      <c r="P59" s="3"/>
      <c r="Q59" s="3" t="s">
        <v>23</v>
      </c>
      <c r="R59" s="3" t="s">
        <v>23</v>
      </c>
      <c r="S59" s="3" t="s">
        <v>23</v>
      </c>
      <c r="T59" s="3" t="s">
        <v>23</v>
      </c>
      <c r="U59" s="3"/>
      <c r="V59" s="3" t="s">
        <v>23</v>
      </c>
      <c r="W59" s="3"/>
    </row>
    <row r="60" spans="1:23" ht="27.6" customHeight="1" x14ac:dyDescent="0.25">
      <c r="A60" s="2" t="s">
        <v>56</v>
      </c>
      <c r="B60" s="3" t="s">
        <v>199</v>
      </c>
      <c r="C60" s="2" t="str">
        <f>INDEX(รายการสาร!$B:$B,MATCH($B60,รายการสาร!$A:$A,0))</f>
        <v>Soft care FIC Handgel clenser</v>
      </c>
      <c r="D60" s="2" t="str">
        <f>INDEX(รายการสาร!$C:$C,MATCH($B60,รายการสาร!$A:$A,0))</f>
        <v>Soft care FIC Handgel clenser</v>
      </c>
      <c r="E60" s="2" t="s">
        <v>200</v>
      </c>
      <c r="F60" s="2" t="s">
        <v>188</v>
      </c>
      <c r="G60" s="3"/>
      <c r="H60" s="3" t="s">
        <v>23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23</v>
      </c>
      <c r="W60" s="3" t="s">
        <v>23</v>
      </c>
    </row>
    <row r="61" spans="1:23" x14ac:dyDescent="0.25">
      <c r="A61" s="2" t="s">
        <v>56</v>
      </c>
      <c r="B61" s="3" t="s">
        <v>201</v>
      </c>
      <c r="C61" s="2" t="str">
        <f>INDEX(รายการสาร!$B:$B,MATCH($B61,รายการสาร!$A:$A,0))</f>
        <v>Suma Calc</v>
      </c>
      <c r="D61" s="2" t="str">
        <f>INDEX(รายการสาร!$C:$C,MATCH($B61,รายการสาร!$A:$A,0))</f>
        <v>Suma Calc</v>
      </c>
      <c r="E61" s="2" t="s">
        <v>200</v>
      </c>
      <c r="F61" s="2" t="s">
        <v>188</v>
      </c>
      <c r="G61" s="3"/>
      <c r="H61" s="3"/>
      <c r="I61" s="3"/>
      <c r="J61" s="3"/>
      <c r="K61" s="3" t="s">
        <v>23</v>
      </c>
      <c r="L61" s="3"/>
      <c r="M61" s="3"/>
      <c r="N61" s="3"/>
      <c r="O61" s="3"/>
      <c r="P61" s="3"/>
      <c r="Q61" s="3" t="s">
        <v>23</v>
      </c>
      <c r="R61" s="3" t="s">
        <v>23</v>
      </c>
      <c r="S61" s="3" t="s">
        <v>23</v>
      </c>
      <c r="T61" s="3" t="s">
        <v>23</v>
      </c>
      <c r="U61" s="3"/>
      <c r="V61" s="3" t="s">
        <v>23</v>
      </c>
      <c r="W61" s="3"/>
    </row>
    <row r="62" spans="1:23" x14ac:dyDescent="0.25">
      <c r="A62" s="2" t="s">
        <v>56</v>
      </c>
      <c r="B62" s="3" t="s">
        <v>202</v>
      </c>
      <c r="C62" s="2" t="str">
        <f>INDEX(รายการสาร!$B:$B,MATCH($B62,รายการสาร!$A:$A,0))</f>
        <v>Dual Dip.</v>
      </c>
      <c r="D62" s="2" t="str">
        <f>INDEX(รายการสาร!$C:$C,MATCH($B62,รายการสาร!$A:$A,0))</f>
        <v>Dual Dip.</v>
      </c>
      <c r="E62" s="2" t="s">
        <v>203</v>
      </c>
      <c r="F62" s="2" t="s">
        <v>188</v>
      </c>
      <c r="G62" s="3"/>
      <c r="H62" s="3"/>
      <c r="I62" s="3"/>
      <c r="J62" s="3"/>
      <c r="K62" s="3" t="s">
        <v>23</v>
      </c>
      <c r="L62" s="3"/>
      <c r="M62" s="3"/>
      <c r="N62" s="3"/>
      <c r="O62" s="3" t="s">
        <v>23</v>
      </c>
      <c r="P62" s="3"/>
      <c r="Q62" s="3" t="s">
        <v>23</v>
      </c>
      <c r="R62" s="3" t="s">
        <v>23</v>
      </c>
      <c r="S62" s="3" t="s">
        <v>23</v>
      </c>
      <c r="T62" s="3" t="s">
        <v>23</v>
      </c>
      <c r="U62" s="3"/>
      <c r="V62" s="3"/>
      <c r="W62" s="3"/>
    </row>
    <row r="63" spans="1:23" ht="27.6" customHeight="1" x14ac:dyDescent="0.25">
      <c r="A63" s="2" t="s">
        <v>56</v>
      </c>
      <c r="B63" s="3" t="s">
        <v>204</v>
      </c>
      <c r="C63" s="2" t="str">
        <f>INDEX(รายการสาร!$B:$B,MATCH($B63,รายการสาร!$A:$A,0))</f>
        <v>Suma Optmuni 281</v>
      </c>
      <c r="D63" s="2" t="str">
        <f>INDEX(รายการสาร!$C:$C,MATCH($B63,รายการสาร!$A:$A,0))</f>
        <v>Suma Optmuni 281</v>
      </c>
      <c r="E63" s="2" t="s">
        <v>200</v>
      </c>
      <c r="F63" s="2" t="s">
        <v>188</v>
      </c>
      <c r="G63" s="3"/>
      <c r="H63" s="3"/>
      <c r="I63" s="3"/>
      <c r="J63" s="3" t="s">
        <v>23</v>
      </c>
      <c r="K63" s="3" t="s">
        <v>23</v>
      </c>
      <c r="L63" s="3"/>
      <c r="M63" s="3"/>
      <c r="N63" s="3"/>
      <c r="O63" s="3"/>
      <c r="P63" s="3"/>
      <c r="Q63" s="3" t="s">
        <v>23</v>
      </c>
      <c r="R63" s="3" t="s">
        <v>23</v>
      </c>
      <c r="S63" s="3" t="s">
        <v>23</v>
      </c>
      <c r="T63" s="3" t="s">
        <v>23</v>
      </c>
      <c r="U63" s="3"/>
      <c r="V63" s="3" t="s">
        <v>23</v>
      </c>
      <c r="W63" s="3"/>
    </row>
    <row r="64" spans="1:23" x14ac:dyDescent="0.25">
      <c r="A64" s="2" t="s">
        <v>205</v>
      </c>
      <c r="B64" s="3" t="s">
        <v>57</v>
      </c>
      <c r="C64" s="2" t="str">
        <f>INDEX(รายการสาร!$B:$B,MATCH($B64,รายการสาร!$A:$A,0))</f>
        <v>Q-bac4 soap liquid</v>
      </c>
      <c r="D64" s="2" t="str">
        <f>INDEX(รายการสาร!$C:$C,MATCH($B64,รายการสาร!$A:$A,0))</f>
        <v>Q-bac4</v>
      </c>
      <c r="E64" s="2" t="s">
        <v>206</v>
      </c>
      <c r="F64" s="2" t="s">
        <v>207</v>
      </c>
      <c r="G64" s="3"/>
      <c r="H64" s="3"/>
      <c r="I64" s="3"/>
      <c r="J64" s="3"/>
      <c r="K64" s="3"/>
      <c r="L64" s="3"/>
      <c r="M64" s="3"/>
      <c r="N64" s="3"/>
      <c r="O64" s="3" t="s">
        <v>23</v>
      </c>
      <c r="P64" s="3"/>
      <c r="Q64" s="3"/>
      <c r="R64" s="3"/>
      <c r="S64" s="3"/>
      <c r="T64" s="3"/>
      <c r="U64" s="3"/>
      <c r="V64" s="3"/>
      <c r="W64" s="3"/>
    </row>
    <row r="65" spans="1:23" ht="27.6" customHeight="1" x14ac:dyDescent="0.25">
      <c r="A65" s="2" t="s">
        <v>205</v>
      </c>
      <c r="B65" s="3" t="s">
        <v>208</v>
      </c>
      <c r="C65" s="2" t="str">
        <f>INDEX(รายการสาร!$B:$B,MATCH($B65,รายการสาร!$A:$A,0))</f>
        <v>น้ำยาล้างจาน</v>
      </c>
      <c r="D65" s="2" t="str">
        <f>INDEX(รายการสาร!$C:$C,MATCH($B65,รายการสาร!$A:$A,0))</f>
        <v>ไลปอนเอฟ ,มาวิน และซันไลต์</v>
      </c>
      <c r="E65" s="2" t="s">
        <v>209</v>
      </c>
      <c r="F65" s="2" t="s">
        <v>210</v>
      </c>
      <c r="G65" s="3"/>
      <c r="H65" s="3"/>
      <c r="I65" s="3"/>
      <c r="J65" s="3"/>
      <c r="K65" s="3"/>
      <c r="L65" s="3"/>
      <c r="M65" s="3"/>
      <c r="N65" s="3"/>
      <c r="O65" s="3" t="s">
        <v>23</v>
      </c>
      <c r="P65" s="3"/>
      <c r="Q65" s="3" t="s">
        <v>23</v>
      </c>
      <c r="R65" s="3"/>
      <c r="S65" s="3" t="s">
        <v>23</v>
      </c>
      <c r="T65" s="3"/>
      <c r="U65" s="3"/>
      <c r="V65" s="3"/>
      <c r="W65" s="3"/>
    </row>
    <row r="66" spans="1:23" ht="27.6" customHeight="1" x14ac:dyDescent="0.25">
      <c r="A66" s="2" t="s">
        <v>205</v>
      </c>
      <c r="B66" s="3" t="s">
        <v>211</v>
      </c>
      <c r="C66" s="2" t="str">
        <f>INDEX(รายการสาร!$B:$B,MATCH($B66,รายการสาร!$A:$A,0))</f>
        <v>Neodisher IP spray</v>
      </c>
      <c r="D66" s="2" t="str">
        <f>INDEX(รายการสาร!$C:$C,MATCH($B66,รายการสาร!$A:$A,0))</f>
        <v>Neodisher IP spray(400 ml)</v>
      </c>
      <c r="E66" s="2" t="s">
        <v>212</v>
      </c>
      <c r="F66" s="2" t="s">
        <v>213</v>
      </c>
      <c r="G66" s="3"/>
      <c r="H66" s="3" t="s">
        <v>23</v>
      </c>
      <c r="I66" s="3"/>
      <c r="J66" s="3"/>
      <c r="K66" s="3"/>
      <c r="L66" s="3" t="s">
        <v>23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 t="s">
        <v>23</v>
      </c>
    </row>
    <row r="67" spans="1:23" ht="27.6" customHeight="1" x14ac:dyDescent="0.25">
      <c r="A67" s="2" t="s">
        <v>205</v>
      </c>
      <c r="B67" s="3" t="s">
        <v>214</v>
      </c>
      <c r="C67" s="2" t="str">
        <f>INDEX(รายการสาร!$B:$B,MATCH($B67,รายการสาร!$A:$A,0))</f>
        <v>Mediclean forte</v>
      </c>
      <c r="D67" s="2" t="str">
        <f>INDEX(รายการสาร!$C:$C,MATCH($B67,รายการสาร!$A:$A,0))</f>
        <v>Mediclean forte(5L)</v>
      </c>
      <c r="E67" s="2" t="s">
        <v>108</v>
      </c>
      <c r="F67" s="2" t="s">
        <v>215</v>
      </c>
      <c r="G67" s="3"/>
      <c r="H67" s="3"/>
      <c r="I67" s="3"/>
      <c r="J67" s="3"/>
      <c r="K67" s="3"/>
      <c r="L67" s="3"/>
      <c r="M67" s="3"/>
      <c r="N67" s="3"/>
      <c r="O67" s="3" t="s">
        <v>23</v>
      </c>
      <c r="P67" s="3"/>
      <c r="Q67" s="3" t="s">
        <v>23</v>
      </c>
      <c r="R67" s="3" t="s">
        <v>23</v>
      </c>
      <c r="S67" s="3"/>
      <c r="T67" s="3"/>
      <c r="U67" s="3"/>
      <c r="V67" s="3" t="s">
        <v>23</v>
      </c>
      <c r="W67" s="3"/>
    </row>
    <row r="68" spans="1:23" ht="27.6" customHeight="1" x14ac:dyDescent="0.25">
      <c r="A68" s="2" t="s">
        <v>205</v>
      </c>
      <c r="B68" s="3" t="s">
        <v>216</v>
      </c>
      <c r="C68" s="2" t="str">
        <f>INDEX(รายการสาร!$B:$B,MATCH($B68,รายการสาร!$A:$A,0))</f>
        <v>Stabimed Fresh (B Braun)</v>
      </c>
      <c r="D68" s="2" t="str">
        <f>INDEX(รายการสาร!$C:$C,MATCH($B68,รายการสาร!$A:$A,0))</f>
        <v>Stabimed Fresh (B Braun)(5L)</v>
      </c>
      <c r="E68" s="2" t="s">
        <v>108</v>
      </c>
      <c r="F68" s="2" t="s">
        <v>215</v>
      </c>
      <c r="G68" s="3"/>
      <c r="H68" s="3" t="s">
        <v>23</v>
      </c>
      <c r="I68" s="3"/>
      <c r="J68" s="3"/>
      <c r="K68" s="3" t="s">
        <v>23</v>
      </c>
      <c r="L68" s="3"/>
      <c r="M68" s="3" t="s">
        <v>23</v>
      </c>
      <c r="N68" s="3" t="s">
        <v>23</v>
      </c>
      <c r="O68" s="3" t="s">
        <v>23</v>
      </c>
      <c r="P68" s="3"/>
      <c r="Q68" s="3" t="s">
        <v>23</v>
      </c>
      <c r="R68" s="3" t="s">
        <v>23</v>
      </c>
      <c r="S68" s="3" t="s">
        <v>23</v>
      </c>
      <c r="T68" s="3" t="s">
        <v>23</v>
      </c>
      <c r="U68" s="3"/>
      <c r="V68" s="3" t="s">
        <v>23</v>
      </c>
      <c r="W68" s="3" t="s">
        <v>23</v>
      </c>
    </row>
    <row r="69" spans="1:23" x14ac:dyDescent="0.25">
      <c r="A69" s="2" t="s">
        <v>205</v>
      </c>
      <c r="B69" s="3" t="s">
        <v>217</v>
      </c>
      <c r="C69" s="2" t="str">
        <f>INDEX(รายการสาร!$B:$B,MATCH($B69,รายการสาร!$A:$A,0))</f>
        <v>สบู่เหลวล้างมือ</v>
      </c>
      <c r="D69" s="2" t="str">
        <f>INDEX(รายการสาร!$C:$C,MATCH($B69,รายการสาร!$A:$A,0))</f>
        <v>สบู่เหลวล้างมือ</v>
      </c>
      <c r="E69" s="2" t="s">
        <v>218</v>
      </c>
      <c r="F69" s="2" t="s">
        <v>215</v>
      </c>
      <c r="G69" s="3"/>
      <c r="H69" s="3"/>
      <c r="I69" s="3"/>
      <c r="J69" s="3"/>
      <c r="K69" s="3"/>
      <c r="L69" s="3"/>
      <c r="M69" s="3"/>
      <c r="N69" s="3"/>
      <c r="O69" s="3" t="s">
        <v>23</v>
      </c>
      <c r="P69" s="3"/>
      <c r="Q69" s="3"/>
      <c r="R69" s="3"/>
      <c r="S69" s="3"/>
      <c r="T69" s="3"/>
      <c r="U69" s="3"/>
      <c r="V69" s="3"/>
      <c r="W69" s="3"/>
    </row>
    <row r="70" spans="1:23" ht="27.6" customHeight="1" x14ac:dyDescent="0.25">
      <c r="A70" s="2" t="s">
        <v>205</v>
      </c>
      <c r="B70" s="3" t="s">
        <v>60</v>
      </c>
      <c r="C70" s="2" t="str">
        <f>INDEX(รายการสาร!$B:$B,MATCH($B70,รายการสาร!$A:$A,0))</f>
        <v>GER-MA-WAY Disinfectant</v>
      </c>
      <c r="D70" s="2" t="str">
        <f>INDEX(รายการสาร!$C:$C,MATCH($B70,รายการสาร!$A:$A,0))</f>
        <v>GER-MA-WAY Disinfectant</v>
      </c>
      <c r="E70" s="2" t="s">
        <v>219</v>
      </c>
      <c r="F70" s="2" t="s">
        <v>215</v>
      </c>
      <c r="G70" s="3"/>
      <c r="H70" s="3"/>
      <c r="I70" s="3"/>
      <c r="J70" s="3"/>
      <c r="K70" s="3"/>
      <c r="L70" s="3"/>
      <c r="M70" s="3"/>
      <c r="N70" s="3"/>
      <c r="O70" s="3" t="s">
        <v>23</v>
      </c>
      <c r="P70" s="3"/>
      <c r="Q70" s="3"/>
      <c r="R70" s="3"/>
      <c r="S70" s="3"/>
      <c r="T70" s="3"/>
      <c r="U70" s="3"/>
      <c r="V70" s="3"/>
      <c r="W70" s="3"/>
    </row>
    <row r="71" spans="1:23" ht="27.6" customHeight="1" x14ac:dyDescent="0.25">
      <c r="A71" s="2" t="s">
        <v>205</v>
      </c>
      <c r="B71" s="3" t="s">
        <v>220</v>
      </c>
      <c r="C71" s="2" t="str">
        <f>INDEX(รายการสาร!$B:$B,MATCH($B71,รายการสาร!$A:$A,0))</f>
        <v>ETHYLENE SERIE GAS</v>
      </c>
      <c r="D71" s="2" t="str">
        <f>INDEX(รายการสาร!$C:$C,MATCH($B71,รายการสาร!$A:$A,0))</f>
        <v>Sterilization Gas type A-100</v>
      </c>
      <c r="E71" s="2" t="s">
        <v>221</v>
      </c>
      <c r="F71" s="2" t="s">
        <v>222</v>
      </c>
      <c r="G71" s="3"/>
      <c r="H71" s="3" t="s">
        <v>23</v>
      </c>
      <c r="I71" s="3"/>
      <c r="J71" s="3" t="s">
        <v>23</v>
      </c>
      <c r="K71" s="3"/>
      <c r="L71" s="3" t="s">
        <v>23</v>
      </c>
      <c r="M71" s="3"/>
      <c r="N71" s="3"/>
      <c r="O71" s="3"/>
      <c r="P71" s="3"/>
      <c r="Q71" s="3" t="s">
        <v>23</v>
      </c>
      <c r="R71" s="3" t="s">
        <v>23</v>
      </c>
      <c r="S71" s="3" t="s">
        <v>23</v>
      </c>
      <c r="T71" s="3" t="s">
        <v>23</v>
      </c>
      <c r="U71" s="3"/>
      <c r="V71" s="3"/>
      <c r="W71" s="3" t="s">
        <v>23</v>
      </c>
    </row>
    <row r="72" spans="1:23" ht="41.4" customHeight="1" x14ac:dyDescent="0.25">
      <c r="A72" s="2" t="s">
        <v>205</v>
      </c>
      <c r="B72" s="3" t="s">
        <v>223</v>
      </c>
      <c r="C72" s="2" t="str">
        <f>INDEX(รายการสาร!$B:$B,MATCH($B72,รายการสาร!$A:$A,0))</f>
        <v>Low foam ultra rapid multi enzyme cleaner</v>
      </c>
      <c r="D72" s="2" t="str">
        <f>INDEX(รายการสาร!$C:$C,MATCH($B72,รายการสาร!$A:$A,0))</f>
        <v>Low foam ultra rapid multi enzyme cleaner</v>
      </c>
      <c r="E72" s="2" t="s">
        <v>224</v>
      </c>
      <c r="F72" s="2" t="s">
        <v>215</v>
      </c>
      <c r="G72" s="3"/>
      <c r="H72" s="3"/>
      <c r="I72" s="3"/>
      <c r="J72" s="3"/>
      <c r="K72" s="3"/>
      <c r="L72" s="3"/>
      <c r="M72" s="3" t="s">
        <v>23</v>
      </c>
      <c r="N72" s="3" t="s">
        <v>23</v>
      </c>
      <c r="O72" s="3"/>
      <c r="P72" s="3"/>
      <c r="Q72" s="3" t="s">
        <v>23</v>
      </c>
      <c r="R72" s="3" t="s">
        <v>23</v>
      </c>
      <c r="S72" s="3" t="s">
        <v>23</v>
      </c>
      <c r="T72" s="3" t="s">
        <v>23</v>
      </c>
      <c r="U72" s="3" t="s">
        <v>23</v>
      </c>
      <c r="V72" s="3" t="s">
        <v>23</v>
      </c>
      <c r="W72" s="3"/>
    </row>
    <row r="73" spans="1:23" ht="27.6" customHeight="1" x14ac:dyDescent="0.25">
      <c r="A73" s="2" t="s">
        <v>205</v>
      </c>
      <c r="B73" s="3" t="s">
        <v>225</v>
      </c>
      <c r="C73" s="2" t="str">
        <f>INDEX(รายการสาร!$B:$B,MATCH($B73,รายการสาร!$A:$A,0))</f>
        <v>Helizyme (B Braun)</v>
      </c>
      <c r="D73" s="2" t="str">
        <f>INDEX(รายการสาร!$C:$C,MATCH($B73,รายการสาร!$A:$A,0))</f>
        <v>Helizyme (B Braun)</v>
      </c>
      <c r="E73" s="2" t="s">
        <v>155</v>
      </c>
      <c r="F73" s="2" t="s">
        <v>215</v>
      </c>
      <c r="G73" s="3"/>
      <c r="H73" s="3" t="s">
        <v>23</v>
      </c>
      <c r="I73" s="3"/>
      <c r="J73" s="3"/>
      <c r="K73" s="3" t="s">
        <v>23</v>
      </c>
      <c r="L73" s="3"/>
      <c r="M73" s="3" t="s">
        <v>23</v>
      </c>
      <c r="N73" s="3" t="s">
        <v>23</v>
      </c>
      <c r="O73" s="3" t="s">
        <v>23</v>
      </c>
      <c r="P73" s="3"/>
      <c r="Q73" s="3" t="s">
        <v>23</v>
      </c>
      <c r="R73" s="3" t="s">
        <v>23</v>
      </c>
      <c r="S73" s="3" t="s">
        <v>23</v>
      </c>
      <c r="T73" s="3" t="s">
        <v>23</v>
      </c>
      <c r="U73" s="3" t="s">
        <v>23</v>
      </c>
      <c r="V73" s="3" t="s">
        <v>23</v>
      </c>
      <c r="W73" s="3" t="s">
        <v>23</v>
      </c>
    </row>
    <row r="74" spans="1:23" x14ac:dyDescent="0.25">
      <c r="A74" s="2" t="s">
        <v>29</v>
      </c>
      <c r="B74" s="3" t="s">
        <v>226</v>
      </c>
      <c r="C74" s="2" t="str">
        <f>INDEX(รายการสาร!$B:$B,MATCH($B74,รายการสาร!$A:$A,0))</f>
        <v>ไมวิน</v>
      </c>
      <c r="D74" s="2" t="str">
        <f>INDEX(รายการสาร!$C:$C,MATCH($B74,รายการสาร!$A:$A,0))</f>
        <v>Polish Remover</v>
      </c>
      <c r="E74" s="2" t="s">
        <v>127</v>
      </c>
      <c r="F74" s="2" t="s">
        <v>122</v>
      </c>
      <c r="G74" s="3"/>
      <c r="H74" s="3"/>
      <c r="I74" s="3" t="s">
        <v>23</v>
      </c>
      <c r="J74" s="3"/>
      <c r="K74" s="3"/>
      <c r="L74" s="3"/>
      <c r="M74" s="3"/>
      <c r="N74" s="3" t="s">
        <v>23</v>
      </c>
      <c r="O74" s="3"/>
      <c r="P74" s="3" t="s">
        <v>23</v>
      </c>
      <c r="Q74" s="3"/>
      <c r="R74" s="3" t="s">
        <v>23</v>
      </c>
      <c r="S74" s="3"/>
      <c r="T74" s="3"/>
      <c r="U74" s="3"/>
      <c r="V74" s="3"/>
      <c r="W74" s="3"/>
    </row>
    <row r="75" spans="1:23" x14ac:dyDescent="0.25">
      <c r="A75" s="2" t="s">
        <v>29</v>
      </c>
      <c r="B75" s="3" t="s">
        <v>30</v>
      </c>
      <c r="C75" s="2" t="str">
        <f>INDEX(รายการสาร!$B:$B,MATCH($B75,รายการสาร!$A:$A,0))</f>
        <v>Ammonia</v>
      </c>
      <c r="D75" s="2" t="str">
        <f>INDEX(รายการสาร!$C:$C,MATCH($B75,รายการสาร!$A:$A,0))</f>
        <v>Ammonia</v>
      </c>
      <c r="E75" s="2" t="s">
        <v>227</v>
      </c>
      <c r="F75" s="2" t="s">
        <v>122</v>
      </c>
      <c r="G75" s="3"/>
      <c r="H75" s="3"/>
      <c r="I75" s="3"/>
      <c r="J75" s="3"/>
      <c r="K75" s="3" t="s">
        <v>23</v>
      </c>
      <c r="L75" s="3" t="s">
        <v>23</v>
      </c>
      <c r="M75" s="3"/>
      <c r="N75" s="3" t="s">
        <v>23</v>
      </c>
      <c r="O75" s="3"/>
      <c r="P75" s="3"/>
      <c r="Q75" s="3"/>
      <c r="R75" s="3" t="s">
        <v>23</v>
      </c>
      <c r="S75" s="3" t="s">
        <v>23</v>
      </c>
      <c r="T75" s="3"/>
      <c r="U75" s="3"/>
      <c r="V75" s="3"/>
      <c r="W75" s="3"/>
    </row>
    <row r="76" spans="1:23" x14ac:dyDescent="0.25">
      <c r="A76" s="2" t="s">
        <v>29</v>
      </c>
      <c r="B76" s="3" t="s">
        <v>228</v>
      </c>
      <c r="C76" s="2" t="str">
        <f>INDEX(รายการสาร!$B:$B,MATCH($B76,รายการสาร!$A:$A,0))</f>
        <v>Hydrex Scrub</v>
      </c>
      <c r="D76" s="2" t="str">
        <f>INDEX(รายการสาร!$C:$C,MATCH($B76,รายการสาร!$A:$A,0))</f>
        <v>Hexene Scrub</v>
      </c>
      <c r="E76" s="2" t="s">
        <v>229</v>
      </c>
      <c r="F76" s="2" t="s">
        <v>122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2" t="s">
        <v>29</v>
      </c>
      <c r="B77" s="3" t="s">
        <v>45</v>
      </c>
      <c r="C77" s="2" t="str">
        <f>INDEX(รายการสาร!$B:$B,MATCH($B77,รายการสาร!$A:$A,0))</f>
        <v>Alcohol Pad</v>
      </c>
      <c r="D77" s="2" t="str">
        <f>INDEX(รายการสาร!$C:$C,MATCH($B77,รายการสาร!$A:$A,0))</f>
        <v>Neoplast</v>
      </c>
      <c r="E77" s="2" t="s">
        <v>139</v>
      </c>
      <c r="F77" s="2" t="s">
        <v>122</v>
      </c>
      <c r="G77" s="3"/>
      <c r="H77" s="3"/>
      <c r="I77" s="3" t="s">
        <v>23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 t="s">
        <v>23</v>
      </c>
    </row>
    <row r="78" spans="1:23" x14ac:dyDescent="0.25">
      <c r="A78" s="2" t="s">
        <v>29</v>
      </c>
      <c r="B78" s="3" t="s">
        <v>35</v>
      </c>
      <c r="C78" s="2" t="str">
        <f>INDEX(รายการสาร!$B:$B,MATCH($B78,รายการสาร!$A:$A,0))</f>
        <v>Alcohol Gel</v>
      </c>
      <c r="D78" s="2" t="str">
        <f>INDEX(รายการสาร!$C:$C,MATCH($B78,รายการสาร!$A:$A,0))</f>
        <v>Clear Hand Gel</v>
      </c>
      <c r="E78" s="2" t="s">
        <v>230</v>
      </c>
      <c r="F78" s="2" t="s">
        <v>122</v>
      </c>
      <c r="G78" s="3"/>
      <c r="H78" s="3"/>
      <c r="I78" s="3" t="s">
        <v>23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 t="s">
        <v>23</v>
      </c>
    </row>
    <row r="79" spans="1:23" x14ac:dyDescent="0.25">
      <c r="A79" s="2" t="s">
        <v>29</v>
      </c>
      <c r="B79" s="3" t="s">
        <v>63</v>
      </c>
      <c r="C79" s="2" t="str">
        <f>INDEX(รายการสาร!$B:$B,MATCH($B79,รายการสาร!$A:$A,0))</f>
        <v>CaviWipes</v>
      </c>
      <c r="D79" s="2" t="str">
        <f>INDEX(รายการสาร!$C:$C,MATCH($B79,รายการสาร!$A:$A,0))</f>
        <v>CaviWipes</v>
      </c>
      <c r="E79" s="2" t="s">
        <v>231</v>
      </c>
      <c r="F79" s="2" t="s">
        <v>122</v>
      </c>
      <c r="G79" s="3"/>
      <c r="H79" s="3"/>
      <c r="I79" s="3"/>
      <c r="J79" s="3"/>
      <c r="K79" s="3"/>
      <c r="L79" s="3"/>
      <c r="M79" s="3"/>
      <c r="N79" s="3"/>
      <c r="O79" s="3"/>
      <c r="P79" s="3" t="s">
        <v>23</v>
      </c>
      <c r="Q79" s="3"/>
      <c r="R79" s="3"/>
      <c r="S79" s="3"/>
      <c r="T79" s="3"/>
      <c r="U79" s="3"/>
      <c r="V79" s="3"/>
      <c r="W79" s="3"/>
    </row>
    <row r="80" spans="1:23" ht="27.6" customHeight="1" x14ac:dyDescent="0.25">
      <c r="A80" s="2" t="s">
        <v>29</v>
      </c>
      <c r="B80" s="3" t="s">
        <v>26</v>
      </c>
      <c r="C80" s="2" t="str">
        <f>INDEX(รายการสาร!$B:$B,MATCH($B80,รายการสาร!$A:$A,0))</f>
        <v>70% alcohol</v>
      </c>
      <c r="D80" s="2" t="str">
        <f>INDEX(รายการสาร!$C:$C,MATCH($B80,รายการสาร!$A:$A,0))</f>
        <v>Preservative solution 70%</v>
      </c>
      <c r="E80" s="2" t="s">
        <v>123</v>
      </c>
      <c r="F80" s="2" t="s">
        <v>122</v>
      </c>
      <c r="G80" s="3"/>
      <c r="H80" s="3"/>
      <c r="I80" s="3" t="s">
        <v>23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 t="s">
        <v>23</v>
      </c>
    </row>
    <row r="81" spans="1:23" x14ac:dyDescent="0.25">
      <c r="A81" s="2" t="s">
        <v>29</v>
      </c>
      <c r="B81" s="3" t="s">
        <v>40</v>
      </c>
      <c r="C81" s="2" t="str">
        <f>INDEX(รายการสาร!$B:$B,MATCH($B81,รายการสาร!$A:$A,0))</f>
        <v>Betadine</v>
      </c>
      <c r="D81" s="2" t="str">
        <f>INDEX(รายการสาร!$C:$C,MATCH($B81,รายการสาร!$A:$A,0))</f>
        <v>Betadine</v>
      </c>
      <c r="E81" s="2" t="s">
        <v>232</v>
      </c>
      <c r="F81" s="2" t="s">
        <v>122</v>
      </c>
      <c r="G81" s="3"/>
      <c r="H81" s="3"/>
      <c r="I81" s="3"/>
      <c r="J81" s="3"/>
      <c r="K81" s="3"/>
      <c r="L81" s="3"/>
      <c r="M81" s="3"/>
      <c r="N81" s="3"/>
      <c r="O81" s="3"/>
      <c r="P81" s="3" t="s">
        <v>23</v>
      </c>
      <c r="Q81" s="3"/>
      <c r="R81" s="3" t="s">
        <v>23</v>
      </c>
      <c r="S81" s="3"/>
      <c r="T81" s="3"/>
      <c r="U81" s="3"/>
      <c r="V81" s="3"/>
      <c r="W81" s="3"/>
    </row>
    <row r="82" spans="1:23" x14ac:dyDescent="0.25">
      <c r="A82" s="2" t="s">
        <v>29</v>
      </c>
      <c r="B82" s="3" t="s">
        <v>32</v>
      </c>
      <c r="C82" s="2" t="str">
        <f>INDEX(รายการสาร!$B:$B,MATCH($B82,รายการสาร!$A:$A,0))</f>
        <v>Gel ล้างมือติดผนัง</v>
      </c>
      <c r="D82" s="2" t="str">
        <f>INDEX(รายการสาร!$C:$C,MATCH($B82,รายการสาร!$A:$A,0))</f>
        <v>Purell</v>
      </c>
      <c r="E82" s="2" t="s">
        <v>233</v>
      </c>
      <c r="F82" s="2" t="s">
        <v>122</v>
      </c>
      <c r="G82" s="3"/>
      <c r="H82" s="3"/>
      <c r="I82" s="3" t="s">
        <v>23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23</v>
      </c>
    </row>
    <row r="83" spans="1:23" ht="41.4" customHeight="1" x14ac:dyDescent="0.25">
      <c r="A83" s="2" t="s">
        <v>29</v>
      </c>
      <c r="B83" s="3" t="s">
        <v>234</v>
      </c>
      <c r="C83" s="2" t="str">
        <f>INDEX(รายการสาร!$B:$B,MATCH($B83,รายการสาร!$A:$A,0))</f>
        <v>น้ำยาล้างจาน</v>
      </c>
      <c r="D83" s="2" t="str">
        <f>INDEX(รายการสาร!$C:$C,MATCH($B83,รายการสาร!$A:$A,0))</f>
        <v>ไลปอนเอฟ หรือ มาวิน หรือ ซันไลต์ ทีโพล์</v>
      </c>
      <c r="E83" s="2" t="s">
        <v>235</v>
      </c>
      <c r="F83" s="2" t="s">
        <v>236</v>
      </c>
      <c r="G83" s="3"/>
      <c r="H83" s="3"/>
      <c r="I83" s="3"/>
      <c r="J83" s="3"/>
      <c r="K83" s="3"/>
      <c r="L83" s="3"/>
      <c r="M83" s="3"/>
      <c r="N83" s="3"/>
      <c r="O83" s="3"/>
      <c r="P83" s="3" t="s">
        <v>23</v>
      </c>
      <c r="Q83" s="3"/>
      <c r="R83" s="3"/>
      <c r="S83" s="3"/>
      <c r="T83" s="3"/>
      <c r="U83" s="3"/>
      <c r="V83" s="3"/>
      <c r="W83" s="3"/>
    </row>
    <row r="84" spans="1:23" x14ac:dyDescent="0.25">
      <c r="A84" s="2" t="s">
        <v>29</v>
      </c>
      <c r="B84" s="3" t="s">
        <v>237</v>
      </c>
      <c r="C84" s="2" t="str">
        <f>INDEX(รายการสาร!$B:$B,MATCH($B84,รายการสาร!$A:$A,0))</f>
        <v>คิมแคร์สบู่เหลวล้างมือ</v>
      </c>
      <c r="D84" s="2" t="str">
        <f>INDEX(รายการสาร!$C:$C,MATCH($B84,รายการสาร!$A:$A,0))</f>
        <v>Scott</v>
      </c>
      <c r="E84" s="2" t="s">
        <v>238</v>
      </c>
      <c r="F84" s="2" t="s">
        <v>117</v>
      </c>
      <c r="G84" s="3"/>
      <c r="H84" s="3"/>
      <c r="I84" s="3"/>
      <c r="J84" s="3"/>
      <c r="K84" s="3"/>
      <c r="L84" s="3"/>
      <c r="M84" s="3"/>
      <c r="N84" s="3"/>
      <c r="O84" s="3"/>
      <c r="P84" s="3" t="s">
        <v>23</v>
      </c>
      <c r="Q84" s="3"/>
      <c r="R84" s="3"/>
      <c r="S84" s="3"/>
      <c r="T84" s="3"/>
      <c r="U84" s="3"/>
      <c r="V84" s="3"/>
      <c r="W84" s="3"/>
    </row>
    <row r="85" spans="1:23" x14ac:dyDescent="0.25">
      <c r="A85" s="2" t="s">
        <v>29</v>
      </c>
      <c r="B85" s="3" t="s">
        <v>57</v>
      </c>
      <c r="C85" s="2" t="str">
        <f>INDEX(รายการสาร!$B:$B,MATCH($B85,รายการสาร!$A:$A,0))</f>
        <v>Q-bac4 soap liquid</v>
      </c>
      <c r="D85" s="2" t="str">
        <f>INDEX(รายการสาร!$C:$C,MATCH($B85,รายการสาร!$A:$A,0))</f>
        <v>Q-bac4</v>
      </c>
      <c r="E85" s="2" t="s">
        <v>239</v>
      </c>
      <c r="F85" s="2" t="s">
        <v>117</v>
      </c>
      <c r="G85" s="3"/>
      <c r="H85" s="3"/>
      <c r="I85" s="3"/>
      <c r="J85" s="3"/>
      <c r="K85" s="3"/>
      <c r="L85" s="3"/>
      <c r="M85" s="3"/>
      <c r="N85" s="3"/>
      <c r="O85" s="3"/>
      <c r="P85" s="3" t="s">
        <v>23</v>
      </c>
      <c r="Q85" s="3"/>
      <c r="R85" s="3"/>
      <c r="S85" s="3"/>
      <c r="T85" s="3"/>
      <c r="U85" s="3"/>
      <c r="V85" s="3"/>
      <c r="W85" s="3"/>
    </row>
    <row r="86" spans="1:23" x14ac:dyDescent="0.25">
      <c r="A86" s="2" t="s">
        <v>240</v>
      </c>
      <c r="B86" s="3" t="s">
        <v>126</v>
      </c>
      <c r="C86" s="2" t="str">
        <f>INDEX(รายการสาร!$B:$B,MATCH($B86,รายการสาร!$A:$A,0))</f>
        <v>น้ำยาล้างเล็บ(LAPPA)</v>
      </c>
      <c r="D86" s="2" t="str">
        <f>INDEX(รายการสาร!$C:$C,MATCH($B86,รายการสาร!$A:$A,0))</f>
        <v>Polish Remover</v>
      </c>
      <c r="E86" s="2" t="s">
        <v>127</v>
      </c>
      <c r="F86" s="2" t="s">
        <v>122</v>
      </c>
      <c r="G86" s="3"/>
      <c r="H86" s="3" t="s">
        <v>23</v>
      </c>
      <c r="I86" s="3"/>
      <c r="J86" s="3"/>
      <c r="K86" s="3"/>
      <c r="L86" s="3"/>
      <c r="M86" s="3" t="s">
        <v>23</v>
      </c>
      <c r="N86" s="3"/>
      <c r="O86" s="3" t="s">
        <v>23</v>
      </c>
      <c r="P86" s="3"/>
      <c r="Q86" s="3" t="s">
        <v>23</v>
      </c>
      <c r="R86" s="3"/>
      <c r="S86" s="3"/>
      <c r="T86" s="3"/>
      <c r="U86" s="3"/>
      <c r="V86" s="3"/>
      <c r="W86" s="3" t="s">
        <v>23</v>
      </c>
    </row>
    <row r="87" spans="1:23" x14ac:dyDescent="0.25">
      <c r="A87" s="2" t="s">
        <v>240</v>
      </c>
      <c r="B87" s="3" t="s">
        <v>30</v>
      </c>
      <c r="C87" s="2" t="str">
        <f>INDEX(รายการสาร!$B:$B,MATCH($B87,รายการสาร!$A:$A,0))</f>
        <v>Ammonia</v>
      </c>
      <c r="D87" s="2" t="str">
        <f>INDEX(รายการสาร!$C:$C,MATCH($B87,รายการสาร!$A:$A,0))</f>
        <v>Ammonia</v>
      </c>
      <c r="E87" s="2" t="s">
        <v>241</v>
      </c>
      <c r="F87" s="2" t="s">
        <v>122</v>
      </c>
      <c r="G87" s="3"/>
      <c r="H87" s="3"/>
      <c r="I87" s="3"/>
      <c r="J87" s="3" t="s">
        <v>23</v>
      </c>
      <c r="K87" s="3" t="s">
        <v>23</v>
      </c>
      <c r="L87" s="3"/>
      <c r="M87" s="3" t="s">
        <v>23</v>
      </c>
      <c r="N87" s="3"/>
      <c r="O87" s="3"/>
      <c r="P87" s="3"/>
      <c r="Q87" s="3" t="s">
        <v>23</v>
      </c>
      <c r="R87" s="3" t="s">
        <v>23</v>
      </c>
      <c r="S87" s="3"/>
      <c r="T87" s="3"/>
      <c r="U87" s="3"/>
      <c r="V87" s="3"/>
      <c r="W87" s="3"/>
    </row>
    <row r="88" spans="1:23" x14ac:dyDescent="0.25">
      <c r="A88" s="2" t="s">
        <v>240</v>
      </c>
      <c r="B88" s="3" t="s">
        <v>242</v>
      </c>
      <c r="C88" s="2" t="str">
        <f>INDEX(รายการสาร!$B:$B,MATCH($B88,รายการสาร!$A:$A,0))</f>
        <v>Chlohexidine gluconate in alcoholic solution</v>
      </c>
      <c r="D88" s="2" t="str">
        <f>INDEX(รายการสาร!$C:$C,MATCH($B88,รายการสาร!$A:$A,0))</f>
        <v>Prepskin-C</v>
      </c>
      <c r="E88" s="2" t="s">
        <v>243</v>
      </c>
      <c r="F88" s="2" t="s">
        <v>122</v>
      </c>
      <c r="G88" s="3"/>
      <c r="H88" s="3" t="s">
        <v>23</v>
      </c>
      <c r="I88" s="3"/>
      <c r="J88" s="3"/>
      <c r="K88" s="3"/>
      <c r="L88" s="3"/>
      <c r="M88" s="3"/>
      <c r="N88" s="3"/>
      <c r="O88" s="3" t="s">
        <v>23</v>
      </c>
      <c r="P88" s="3"/>
      <c r="Q88" s="3" t="s">
        <v>23</v>
      </c>
      <c r="R88" s="3"/>
      <c r="S88" s="3"/>
      <c r="T88" s="3"/>
      <c r="U88" s="3"/>
      <c r="V88" s="3"/>
      <c r="W88" s="3" t="s">
        <v>23</v>
      </c>
    </row>
    <row r="89" spans="1:23" x14ac:dyDescent="0.25">
      <c r="A89" s="2" t="s">
        <v>240</v>
      </c>
      <c r="B89" s="3" t="s">
        <v>45</v>
      </c>
      <c r="C89" s="2" t="str">
        <f>INDEX(รายการสาร!$B:$B,MATCH($B89,รายการสาร!$A:$A,0))</f>
        <v>Alcohol Pad</v>
      </c>
      <c r="D89" s="2" t="str">
        <f>INDEX(รายการสาร!$C:$C,MATCH($B89,รายการสาร!$A:$A,0))</f>
        <v>Neoplast</v>
      </c>
      <c r="E89" s="2" t="s">
        <v>244</v>
      </c>
      <c r="F89" s="2" t="s">
        <v>122</v>
      </c>
      <c r="G89" s="3"/>
      <c r="H89" s="3" t="s">
        <v>23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23</v>
      </c>
    </row>
    <row r="90" spans="1:23" x14ac:dyDescent="0.25">
      <c r="A90" s="2" t="s">
        <v>240</v>
      </c>
      <c r="B90" s="3" t="s">
        <v>35</v>
      </c>
      <c r="C90" s="2" t="str">
        <f>INDEX(รายการสาร!$B:$B,MATCH($B90,รายการสาร!$A:$A,0))</f>
        <v>Alcohol Gel</v>
      </c>
      <c r="D90" s="2" t="str">
        <f>INDEX(รายการสาร!$C:$C,MATCH($B90,รายการสาร!$A:$A,0))</f>
        <v>Clear Hand Gel</v>
      </c>
      <c r="E90" s="2" t="s">
        <v>245</v>
      </c>
      <c r="F90" s="2" t="s">
        <v>122</v>
      </c>
      <c r="G90" s="3"/>
      <c r="H90" s="3" t="s">
        <v>23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 t="s">
        <v>23</v>
      </c>
    </row>
    <row r="91" spans="1:23" x14ac:dyDescent="0.25">
      <c r="A91" s="2" t="s">
        <v>240</v>
      </c>
      <c r="B91" s="3" t="s">
        <v>32</v>
      </c>
      <c r="C91" s="2" t="str">
        <f>INDEX(รายการสาร!$B:$B,MATCH($B91,รายการสาร!$A:$A,0))</f>
        <v>Gel ล้างมือติดผนัง</v>
      </c>
      <c r="D91" s="2" t="str">
        <f>INDEX(รายการสาร!$C:$C,MATCH($B91,รายการสาร!$A:$A,0))</f>
        <v>Purell</v>
      </c>
      <c r="E91" s="2" t="s">
        <v>246</v>
      </c>
      <c r="F91" s="2" t="s">
        <v>122</v>
      </c>
      <c r="G91" s="3"/>
      <c r="H91" s="3" t="s">
        <v>23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 t="s">
        <v>23</v>
      </c>
    </row>
    <row r="92" spans="1:23" ht="27.6" customHeight="1" x14ac:dyDescent="0.25">
      <c r="A92" s="2" t="s">
        <v>240</v>
      </c>
      <c r="B92" s="3" t="s">
        <v>26</v>
      </c>
      <c r="C92" s="2" t="str">
        <f>INDEX(รายการสาร!$B:$B,MATCH($B92,รายการสาร!$A:$A,0))</f>
        <v>70% alcohol</v>
      </c>
      <c r="D92" s="2" t="str">
        <f>INDEX(รายการสาร!$C:$C,MATCH($B92,รายการสาร!$A:$A,0))</f>
        <v>Preservative solution 70%</v>
      </c>
      <c r="E92" s="2" t="s">
        <v>247</v>
      </c>
      <c r="F92" s="2" t="s">
        <v>122</v>
      </c>
      <c r="G92" s="3"/>
      <c r="H92" s="3" t="s">
        <v>23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23</v>
      </c>
    </row>
    <row r="93" spans="1:23" x14ac:dyDescent="0.25">
      <c r="A93" s="2" t="s">
        <v>240</v>
      </c>
      <c r="B93" s="3" t="s">
        <v>40</v>
      </c>
      <c r="C93" s="2" t="str">
        <f>INDEX(รายการสาร!$B:$B,MATCH($B93,รายการสาร!$A:$A,0))</f>
        <v>Betadine</v>
      </c>
      <c r="D93" s="2" t="str">
        <f>INDEX(รายการสาร!$C:$C,MATCH($B93,รายการสาร!$A:$A,0))</f>
        <v>Betadine</v>
      </c>
      <c r="E93" s="2" t="s">
        <v>248</v>
      </c>
      <c r="F93" s="2" t="s">
        <v>122</v>
      </c>
      <c r="G93" s="3"/>
      <c r="H93" s="3"/>
      <c r="I93" s="3"/>
      <c r="J93" s="3"/>
      <c r="K93" s="3"/>
      <c r="L93" s="3"/>
      <c r="M93" s="3"/>
      <c r="N93" s="3"/>
      <c r="O93" s="3" t="s">
        <v>23</v>
      </c>
      <c r="P93" s="3"/>
      <c r="Q93" s="3" t="s">
        <v>23</v>
      </c>
      <c r="R93" s="3"/>
      <c r="S93" s="3"/>
      <c r="T93" s="3"/>
      <c r="U93" s="3"/>
      <c r="V93" s="3"/>
      <c r="W93" s="3"/>
    </row>
    <row r="94" spans="1:23" x14ac:dyDescent="0.25">
      <c r="A94" s="2" t="s">
        <v>240</v>
      </c>
      <c r="B94" s="3" t="s">
        <v>40</v>
      </c>
      <c r="C94" s="2" t="str">
        <f>INDEX(รายการสาร!$B:$B,MATCH($B94,รายการสาร!$A:$A,0))</f>
        <v>Betadine</v>
      </c>
      <c r="D94" s="2" t="str">
        <f>INDEX(รายการสาร!$C:$C,MATCH($B94,รายการสาร!$A:$A,0))</f>
        <v>Betadine</v>
      </c>
      <c r="E94" s="2" t="s">
        <v>249</v>
      </c>
      <c r="F94" s="2" t="s">
        <v>122</v>
      </c>
      <c r="G94" s="3"/>
      <c r="H94" s="3"/>
      <c r="I94" s="3"/>
      <c r="J94" s="3"/>
      <c r="K94" s="3"/>
      <c r="L94" s="3"/>
      <c r="M94" s="3"/>
      <c r="N94" s="3"/>
      <c r="O94" s="3" t="s">
        <v>23</v>
      </c>
      <c r="P94" s="3"/>
      <c r="Q94" s="3" t="s">
        <v>23</v>
      </c>
      <c r="R94" s="3"/>
      <c r="S94" s="3"/>
      <c r="T94" s="3"/>
      <c r="U94" s="3"/>
      <c r="V94" s="3"/>
      <c r="W94" s="3"/>
    </row>
    <row r="95" spans="1:23" ht="27.6" customHeight="1" x14ac:dyDescent="0.25">
      <c r="A95" s="2" t="s">
        <v>240</v>
      </c>
      <c r="B95" s="3" t="s">
        <v>60</v>
      </c>
      <c r="C95" s="2" t="str">
        <f>INDEX(รายการสาร!$B:$B,MATCH($B95,รายการสาร!$A:$A,0))</f>
        <v>GER-MA-WAY Disinfectant</v>
      </c>
      <c r="D95" s="2" t="str">
        <f>INDEX(รายการสาร!$C:$C,MATCH($B95,รายการสาร!$A:$A,0))</f>
        <v>GER-MA-WAY Disinfectant</v>
      </c>
      <c r="E95" s="2" t="s">
        <v>219</v>
      </c>
      <c r="F95" s="2" t="s">
        <v>122</v>
      </c>
      <c r="G95" s="3"/>
      <c r="H95" s="3"/>
      <c r="I95" s="3"/>
      <c r="J95" s="3"/>
      <c r="K95" s="3"/>
      <c r="L95" s="3"/>
      <c r="M95" s="3"/>
      <c r="N95" s="3"/>
      <c r="O95" s="3" t="s">
        <v>23</v>
      </c>
      <c r="P95" s="3"/>
      <c r="Q95" s="3"/>
      <c r="R95" s="3"/>
      <c r="S95" s="3"/>
      <c r="T95" s="3"/>
      <c r="U95" s="3"/>
      <c r="V95" s="3"/>
      <c r="W95" s="3"/>
    </row>
    <row r="96" spans="1:23" ht="41.4" customHeight="1" x14ac:dyDescent="0.25">
      <c r="A96" s="2" t="s">
        <v>240</v>
      </c>
      <c r="B96" s="3" t="s">
        <v>113</v>
      </c>
      <c r="C96" s="2" t="str">
        <f>INDEX(รายการสาร!$B:$B,MATCH($B96,รายการสาร!$A:$A,0))</f>
        <v>น้ำยาล้างจาน</v>
      </c>
      <c r="D96" s="2" t="str">
        <f>INDEX(รายการสาร!$C:$C,MATCH($B96,รายการสาร!$A:$A,0))</f>
        <v>ไลปอนเอฟ หรือ มาวิน หรือ ซันไลต์</v>
      </c>
      <c r="E96" s="2" t="s">
        <v>250</v>
      </c>
      <c r="F96" s="2" t="s">
        <v>236</v>
      </c>
      <c r="G96" s="3"/>
      <c r="H96" s="3"/>
      <c r="I96" s="3"/>
      <c r="J96" s="3"/>
      <c r="K96" s="3"/>
      <c r="L96" s="3"/>
      <c r="M96" s="3"/>
      <c r="N96" s="3"/>
      <c r="O96" s="3" t="s">
        <v>23</v>
      </c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2" t="s">
        <v>240</v>
      </c>
      <c r="B97" s="3" t="s">
        <v>20</v>
      </c>
      <c r="C97" s="2" t="str">
        <f>INDEX(รายการสาร!$B:$B,MATCH($B97,รายการสาร!$A:$A,0))</f>
        <v>คิมแคร์สบู่เหลวล้างมือ</v>
      </c>
      <c r="D97" s="2" t="str">
        <f>INDEX(รายการสาร!$C:$C,MATCH($B97,รายการสาร!$A:$A,0))</f>
        <v>Kimcare</v>
      </c>
      <c r="E97" s="2" t="s">
        <v>250</v>
      </c>
      <c r="F97" s="2" t="s">
        <v>117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7.6" customHeight="1" x14ac:dyDescent="0.25">
      <c r="A98" s="2" t="s">
        <v>240</v>
      </c>
      <c r="B98" s="3" t="s">
        <v>67</v>
      </c>
      <c r="C98" s="2" t="str">
        <f>INDEX(รายการสาร!$B:$B,MATCH($B98,รายการสาร!$A:$A,0))</f>
        <v>น้ำยาเช็ดตัวคนไข้</v>
      </c>
      <c r="D98" s="2" t="str">
        <f>INDEX(รายการสาร!$C:$C,MATCH($B98,รายการสาร!$A:$A,0))</f>
        <v>Dermalux soft towel lotion</v>
      </c>
      <c r="E98" s="2" t="s">
        <v>251</v>
      </c>
      <c r="F98" s="2" t="s">
        <v>252</v>
      </c>
      <c r="G98" s="3"/>
      <c r="H98" s="3"/>
      <c r="I98" s="3"/>
      <c r="J98" s="3"/>
      <c r="K98" s="3"/>
      <c r="L98" s="3"/>
      <c r="M98" s="3"/>
      <c r="N98" s="3"/>
      <c r="O98" s="3" t="s">
        <v>23</v>
      </c>
      <c r="P98" s="3"/>
      <c r="Q98" s="3" t="s">
        <v>23</v>
      </c>
      <c r="R98" s="3"/>
      <c r="S98" s="3"/>
      <c r="T98" s="3"/>
      <c r="U98" s="3"/>
      <c r="V98" s="3"/>
      <c r="W98" s="3"/>
    </row>
    <row r="99" spans="1:23" x14ac:dyDescent="0.25">
      <c r="A99" s="2" t="s">
        <v>240</v>
      </c>
      <c r="B99" s="3" t="s">
        <v>42</v>
      </c>
      <c r="C99" s="2" t="str">
        <f>INDEX(รายการสาร!$B:$B,MATCH($B99,รายการสาร!$A:$A,0))</f>
        <v>CHLORHEXIDINE SCRUB 4%</v>
      </c>
      <c r="D99" s="2" t="str">
        <f>INDEX(รายการสาร!$C:$C,MATCH($B99,รายการสาร!$A:$A,0))</f>
        <v>Hexene</v>
      </c>
      <c r="E99" s="2" t="s">
        <v>253</v>
      </c>
      <c r="F99" s="2" t="s">
        <v>122</v>
      </c>
      <c r="G99" s="3"/>
      <c r="H99" s="3"/>
      <c r="I99" s="3"/>
      <c r="J99" s="3"/>
      <c r="K99" s="3"/>
      <c r="L99" s="3"/>
      <c r="M99" s="3"/>
      <c r="N99" s="3"/>
      <c r="O99" s="3" t="s">
        <v>23</v>
      </c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2" t="s">
        <v>24</v>
      </c>
      <c r="B100" s="3" t="s">
        <v>30</v>
      </c>
      <c r="C100" s="2" t="str">
        <f>INDEX(รายการสาร!$B:$B,MATCH($B100,รายการสาร!$A:$A,0))</f>
        <v>Ammonia</v>
      </c>
      <c r="D100" s="2" t="str">
        <f>INDEX(รายการสาร!$C:$C,MATCH($B100,รายการสาร!$A:$A,0))</f>
        <v>Ammonia</v>
      </c>
      <c r="E100" s="2" t="s">
        <v>254</v>
      </c>
      <c r="F100" s="2" t="s">
        <v>122</v>
      </c>
      <c r="G100" s="3"/>
      <c r="H100" s="3"/>
      <c r="I100" s="3"/>
      <c r="J100" s="3" t="s">
        <v>23</v>
      </c>
      <c r="K100" s="3" t="s">
        <v>23</v>
      </c>
      <c r="L100" s="3"/>
      <c r="M100" s="3" t="s">
        <v>23</v>
      </c>
      <c r="N100" s="3"/>
      <c r="O100" s="3"/>
      <c r="P100" s="3"/>
      <c r="Q100" s="3" t="s">
        <v>23</v>
      </c>
      <c r="R100" s="3" t="s">
        <v>23</v>
      </c>
      <c r="S100" s="3"/>
      <c r="T100" s="3"/>
      <c r="U100" s="3"/>
      <c r="V100" s="3"/>
      <c r="W100" s="3"/>
    </row>
    <row r="101" spans="1:23" x14ac:dyDescent="0.25">
      <c r="A101" s="2" t="s">
        <v>24</v>
      </c>
      <c r="B101" s="3" t="s">
        <v>35</v>
      </c>
      <c r="C101" s="2" t="str">
        <f>INDEX(รายการสาร!$B:$B,MATCH($B101,รายการสาร!$A:$A,0))</f>
        <v>Alcohol Gel</v>
      </c>
      <c r="D101" s="2" t="str">
        <f>INDEX(รายการสาร!$C:$C,MATCH($B101,รายการสาร!$A:$A,0))</f>
        <v>Clear Hand Gel</v>
      </c>
      <c r="E101" s="2" t="s">
        <v>255</v>
      </c>
      <c r="F101" s="2" t="s">
        <v>122</v>
      </c>
      <c r="G101" s="3"/>
      <c r="H101" s="3" t="s">
        <v>23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23</v>
      </c>
    </row>
    <row r="102" spans="1:23" x14ac:dyDescent="0.25">
      <c r="A102" s="2" t="s">
        <v>24</v>
      </c>
      <c r="B102" s="3" t="s">
        <v>45</v>
      </c>
      <c r="C102" s="2" t="str">
        <f>INDEX(รายการสาร!$B:$B,MATCH($B102,รายการสาร!$A:$A,0))</f>
        <v>Alcohol Pad</v>
      </c>
      <c r="D102" s="2" t="str">
        <f>INDEX(รายการสาร!$C:$C,MATCH($B102,รายการสาร!$A:$A,0))</f>
        <v>Neoplast</v>
      </c>
      <c r="E102" s="2" t="s">
        <v>244</v>
      </c>
      <c r="F102" s="2" t="s">
        <v>122</v>
      </c>
      <c r="G102" s="3"/>
      <c r="H102" s="3" t="s">
        <v>23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 t="s">
        <v>23</v>
      </c>
    </row>
    <row r="103" spans="1:23" x14ac:dyDescent="0.25">
      <c r="A103" s="2" t="s">
        <v>24</v>
      </c>
      <c r="B103" s="3" t="s">
        <v>40</v>
      </c>
      <c r="C103" s="2" t="str">
        <f>INDEX(รายการสาร!$B:$B,MATCH($B103,รายการสาร!$A:$A,0))</f>
        <v>Betadine</v>
      </c>
      <c r="D103" s="2" t="str">
        <f>INDEX(รายการสาร!$C:$C,MATCH($B103,รายการสาร!$A:$A,0))</f>
        <v>Betadine</v>
      </c>
      <c r="E103" s="2" t="s">
        <v>254</v>
      </c>
      <c r="F103" s="2" t="s">
        <v>122</v>
      </c>
      <c r="G103" s="3"/>
      <c r="H103" s="3"/>
      <c r="I103" s="3"/>
      <c r="J103" s="3"/>
      <c r="K103" s="3"/>
      <c r="L103" s="3"/>
      <c r="M103" s="3"/>
      <c r="N103" s="3"/>
      <c r="O103" s="3" t="s">
        <v>23</v>
      </c>
      <c r="P103" s="3"/>
      <c r="Q103" s="3" t="s">
        <v>23</v>
      </c>
      <c r="R103" s="3"/>
      <c r="S103" s="3"/>
      <c r="T103" s="3"/>
      <c r="U103" s="3"/>
      <c r="V103" s="3"/>
      <c r="W103" s="3"/>
    </row>
    <row r="104" spans="1:23" ht="27.6" customHeight="1" x14ac:dyDescent="0.25">
      <c r="A104" s="2" t="s">
        <v>24</v>
      </c>
      <c r="B104" s="3" t="s">
        <v>26</v>
      </c>
      <c r="C104" s="2" t="str">
        <f>INDEX(รายการสาร!$B:$B,MATCH($B104,รายการสาร!$A:$A,0))</f>
        <v>70% alcohol</v>
      </c>
      <c r="D104" s="2" t="str">
        <f>INDEX(รายการสาร!$C:$C,MATCH($B104,รายการสาร!$A:$A,0))</f>
        <v>Preservative solution 70%</v>
      </c>
      <c r="E104" s="2" t="s">
        <v>247</v>
      </c>
      <c r="F104" s="2" t="s">
        <v>122</v>
      </c>
      <c r="G104" s="3"/>
      <c r="H104" s="3" t="s">
        <v>23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23</v>
      </c>
    </row>
    <row r="105" spans="1:23" x14ac:dyDescent="0.25">
      <c r="A105" s="2" t="s">
        <v>24</v>
      </c>
      <c r="B105" s="3" t="s">
        <v>32</v>
      </c>
      <c r="C105" s="2" t="str">
        <f>INDEX(รายการสาร!$B:$B,MATCH($B105,รายการสาร!$A:$A,0))</f>
        <v>Gel ล้างมือติดผนัง</v>
      </c>
      <c r="D105" s="2" t="str">
        <f>INDEX(รายการสาร!$C:$C,MATCH($B105,รายการสาร!$A:$A,0))</f>
        <v>Purell</v>
      </c>
      <c r="E105" s="2" t="s">
        <v>246</v>
      </c>
      <c r="F105" s="2" t="s">
        <v>122</v>
      </c>
      <c r="G105" s="3"/>
      <c r="H105" s="3" t="s">
        <v>23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 t="s">
        <v>23</v>
      </c>
    </row>
    <row r="106" spans="1:23" ht="41.4" customHeight="1" x14ac:dyDescent="0.25">
      <c r="A106" s="2" t="s">
        <v>24</v>
      </c>
      <c r="B106" s="3" t="s">
        <v>113</v>
      </c>
      <c r="C106" s="2" t="str">
        <f>INDEX(รายการสาร!$B:$B,MATCH($B106,รายการสาร!$A:$A,0))</f>
        <v>น้ำยาล้างจาน</v>
      </c>
      <c r="D106" s="2" t="str">
        <f>INDEX(รายการสาร!$C:$C,MATCH($B106,รายการสาร!$A:$A,0))</f>
        <v>ไลปอนเอฟ หรือ มาวิน หรือ ซันไลต์</v>
      </c>
      <c r="E106" s="2" t="s">
        <v>256</v>
      </c>
      <c r="F106" s="2" t="s">
        <v>236</v>
      </c>
      <c r="G106" s="3"/>
      <c r="H106" s="3"/>
      <c r="I106" s="3"/>
      <c r="J106" s="3"/>
      <c r="K106" s="3"/>
      <c r="L106" s="3"/>
      <c r="M106" s="3"/>
      <c r="N106" s="3"/>
      <c r="O106" s="3" t="s">
        <v>23</v>
      </c>
      <c r="P106" s="3"/>
      <c r="Q106" s="3"/>
      <c r="R106" s="3"/>
      <c r="S106" s="3"/>
      <c r="T106" s="3"/>
      <c r="U106" s="3"/>
      <c r="V106" s="3"/>
      <c r="W106" s="3"/>
    </row>
    <row r="107" spans="1:23" ht="27.6" customHeight="1" x14ac:dyDescent="0.25">
      <c r="A107" s="2" t="s">
        <v>24</v>
      </c>
      <c r="B107" s="3" t="s">
        <v>67</v>
      </c>
      <c r="C107" s="2" t="str">
        <f>INDEX(รายการสาร!$B:$B,MATCH($B107,รายการสาร!$A:$A,0))</f>
        <v>น้ำยาเช็ดตัวคนไข้</v>
      </c>
      <c r="D107" s="2" t="str">
        <f>INDEX(รายการสาร!$C:$C,MATCH($B107,รายการสาร!$A:$A,0))</f>
        <v>Dermalux soft towel lotion</v>
      </c>
      <c r="E107" s="2" t="s">
        <v>251</v>
      </c>
      <c r="F107" s="2" t="s">
        <v>252</v>
      </c>
      <c r="G107" s="3"/>
      <c r="H107" s="3"/>
      <c r="I107" s="3"/>
      <c r="J107" s="3"/>
      <c r="K107" s="3"/>
      <c r="L107" s="3"/>
      <c r="M107" s="3"/>
      <c r="N107" s="3"/>
      <c r="O107" s="3" t="s">
        <v>23</v>
      </c>
      <c r="P107" s="3"/>
      <c r="Q107" s="3" t="s">
        <v>23</v>
      </c>
      <c r="R107" s="3"/>
      <c r="S107" s="3"/>
      <c r="T107" s="3"/>
      <c r="U107" s="3"/>
      <c r="V107" s="3"/>
      <c r="W107" s="3"/>
    </row>
    <row r="108" spans="1:23" x14ac:dyDescent="0.25">
      <c r="A108" s="2" t="s">
        <v>24</v>
      </c>
      <c r="B108" s="3" t="s">
        <v>42</v>
      </c>
      <c r="C108" s="2" t="str">
        <f>INDEX(รายการสาร!$B:$B,MATCH($B108,รายการสาร!$A:$A,0))</f>
        <v>CHLORHEXIDINE SCRUB 4%</v>
      </c>
      <c r="D108" s="2" t="str">
        <f>INDEX(รายการสาร!$C:$C,MATCH($B108,รายการสาร!$A:$A,0))</f>
        <v>Hexene</v>
      </c>
      <c r="E108" s="2" t="s">
        <v>253</v>
      </c>
      <c r="F108" s="2" t="s">
        <v>122</v>
      </c>
      <c r="G108" s="3"/>
      <c r="H108" s="3"/>
      <c r="I108" s="3"/>
      <c r="J108" s="3"/>
      <c r="K108" s="3"/>
      <c r="L108" s="3"/>
      <c r="M108" s="3"/>
      <c r="N108" s="3"/>
      <c r="O108" s="3"/>
      <c r="P108" s="3" t="s">
        <v>23</v>
      </c>
      <c r="Q108" s="3"/>
      <c r="R108" s="3"/>
      <c r="S108" s="3"/>
      <c r="T108" s="3"/>
      <c r="U108" s="3"/>
      <c r="V108" s="3"/>
      <c r="W108" s="3"/>
    </row>
    <row r="109" spans="1:23" x14ac:dyDescent="0.25">
      <c r="A109" s="2" t="s">
        <v>24</v>
      </c>
      <c r="B109" s="3" t="s">
        <v>20</v>
      </c>
      <c r="C109" s="2" t="str">
        <f>INDEX(รายการสาร!$B:$B,MATCH($B109,รายการสาร!$A:$A,0))</f>
        <v>คิมแคร์สบู่เหลวล้างมือ</v>
      </c>
      <c r="D109" s="2" t="str">
        <f>INDEX(รายการสาร!$C:$C,MATCH($B109,รายการสาร!$A:$A,0))</f>
        <v>Kimcare</v>
      </c>
      <c r="E109" s="2" t="s">
        <v>250</v>
      </c>
      <c r="F109" s="2" t="s">
        <v>117</v>
      </c>
      <c r="G109" s="3"/>
      <c r="H109" s="3"/>
      <c r="I109" s="3"/>
      <c r="J109" s="3"/>
      <c r="K109" s="3"/>
      <c r="L109" s="3"/>
      <c r="M109" s="3"/>
      <c r="N109" s="3"/>
      <c r="O109" s="3"/>
      <c r="P109" s="3" t="s">
        <v>23</v>
      </c>
      <c r="Q109" s="3"/>
      <c r="R109" s="3"/>
      <c r="S109" s="3"/>
      <c r="T109" s="3"/>
      <c r="U109" s="3"/>
      <c r="V109" s="3"/>
      <c r="W109" s="3"/>
    </row>
    <row r="110" spans="1:23" x14ac:dyDescent="0.25">
      <c r="A110" s="2" t="s">
        <v>257</v>
      </c>
      <c r="B110" s="3" t="s">
        <v>45</v>
      </c>
      <c r="C110" s="2" t="str">
        <f>INDEX(รายการสาร!$B:$B,MATCH($B110,รายการสาร!$A:$A,0))</f>
        <v>Alcohol Pad</v>
      </c>
      <c r="D110" s="2" t="str">
        <f>INDEX(รายการสาร!$C:$C,MATCH($B110,รายการสาร!$A:$A,0))</f>
        <v>Neoplast</v>
      </c>
      <c r="E110" s="2" t="s">
        <v>258</v>
      </c>
      <c r="F110" s="2" t="s">
        <v>122</v>
      </c>
      <c r="G110" s="3" t="s">
        <v>23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2" t="s">
        <v>257</v>
      </c>
      <c r="B111" s="3" t="s">
        <v>35</v>
      </c>
      <c r="C111" s="2" t="str">
        <f>INDEX(รายการสาร!$B:$B,MATCH($B111,รายการสาร!$A:$A,0))</f>
        <v>Alcohol Gel</v>
      </c>
      <c r="D111" s="2" t="str">
        <f>INDEX(รายการสาร!$C:$C,MATCH($B111,รายการสาร!$A:$A,0))</f>
        <v>Clear Hand Gel</v>
      </c>
      <c r="E111" s="2" t="s">
        <v>255</v>
      </c>
      <c r="F111" s="2" t="s">
        <v>122</v>
      </c>
      <c r="G111" s="3"/>
      <c r="H111" s="3" t="s">
        <v>23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 t="s">
        <v>23</v>
      </c>
    </row>
    <row r="112" spans="1:23" x14ac:dyDescent="0.25">
      <c r="A112" s="2" t="s">
        <v>257</v>
      </c>
      <c r="B112" s="3" t="s">
        <v>259</v>
      </c>
      <c r="C112" s="2" t="str">
        <f>INDEX(รายการสาร!$B:$B,MATCH($B112,รายการสาร!$A:$A,0))</f>
        <v>สบู่เหลวล้างมือ</v>
      </c>
      <c r="D112" s="2" t="str">
        <f>INDEX(รายการสาร!$C:$C,MATCH($B112,รายการสาร!$A:$A,0))</f>
        <v>Kimcare</v>
      </c>
      <c r="E112" s="2" t="s">
        <v>256</v>
      </c>
      <c r="F112" s="2" t="s">
        <v>122</v>
      </c>
      <c r="G112" s="3"/>
      <c r="H112" s="3"/>
      <c r="I112" s="3"/>
      <c r="J112" s="3"/>
      <c r="K112" s="3"/>
      <c r="L112" s="3"/>
      <c r="M112" s="3"/>
      <c r="N112" s="3"/>
      <c r="O112" s="3" t="s">
        <v>23</v>
      </c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2" t="s">
        <v>257</v>
      </c>
      <c r="B113" s="3" t="s">
        <v>260</v>
      </c>
      <c r="C113" s="2" t="str">
        <f>INDEX(รายการสาร!$B:$B,MATCH($B113,รายการสาร!$A:$A,0))</f>
        <v>Betadine solution</v>
      </c>
      <c r="D113" s="2" t="str">
        <f>INDEX(รายการสาร!$C:$C,MATCH($B113,รายการสาร!$A:$A,0))</f>
        <v>Betadine</v>
      </c>
      <c r="E113" s="2" t="s">
        <v>261</v>
      </c>
      <c r="F113" s="2" t="s">
        <v>122</v>
      </c>
      <c r="G113" s="3"/>
      <c r="H113" s="3"/>
      <c r="I113" s="3"/>
      <c r="J113" s="3"/>
      <c r="K113" s="3"/>
      <c r="L113" s="3"/>
      <c r="M113" s="3"/>
      <c r="N113" s="3"/>
      <c r="O113" s="3" t="s">
        <v>23</v>
      </c>
      <c r="P113" s="3"/>
      <c r="Q113" s="3" t="s">
        <v>23</v>
      </c>
      <c r="R113" s="3"/>
      <c r="S113" s="3"/>
      <c r="T113" s="3"/>
      <c r="U113" s="3"/>
      <c r="V113" s="3"/>
      <c r="W113" s="3"/>
    </row>
    <row r="114" spans="1:23" x14ac:dyDescent="0.25">
      <c r="A114" s="2" t="s">
        <v>257</v>
      </c>
      <c r="B114" s="3" t="s">
        <v>70</v>
      </c>
      <c r="C114" s="2" t="str">
        <f>INDEX(รายการสาร!$B:$B,MATCH($B114,รายการสาร!$A:$A,0))</f>
        <v>70% Alcohol</v>
      </c>
      <c r="D114" s="2" t="str">
        <f>INDEX(รายการสาร!$C:$C,MATCH($B114,รายการสาร!$A:$A,0))</f>
        <v>70% Alcohol</v>
      </c>
      <c r="E114" s="2" t="s">
        <v>261</v>
      </c>
      <c r="F114" s="2" t="s">
        <v>122</v>
      </c>
      <c r="G114" s="3"/>
      <c r="H114" s="3" t="s">
        <v>23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 t="s">
        <v>23</v>
      </c>
    </row>
    <row r="115" spans="1:23" x14ac:dyDescent="0.25">
      <c r="A115" s="2" t="s">
        <v>257</v>
      </c>
      <c r="B115" s="3" t="s">
        <v>70</v>
      </c>
      <c r="C115" s="2" t="str">
        <f>INDEX(รายการสาร!$B:$B,MATCH($B115,รายการสาร!$A:$A,0))</f>
        <v>70% Alcohol</v>
      </c>
      <c r="D115" s="2" t="str">
        <f>INDEX(รายการสาร!$C:$C,MATCH($B115,รายการสาร!$A:$A,0))</f>
        <v>70% Alcohol</v>
      </c>
      <c r="E115" s="2" t="s">
        <v>262</v>
      </c>
      <c r="F115" s="2" t="s">
        <v>122</v>
      </c>
      <c r="G115" s="3"/>
      <c r="H115" s="3" t="s">
        <v>23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 t="s">
        <v>23</v>
      </c>
    </row>
    <row r="116" spans="1:23" ht="27.6" customHeight="1" x14ac:dyDescent="0.25">
      <c r="A116" s="2" t="s">
        <v>257</v>
      </c>
      <c r="B116" s="3" t="s">
        <v>67</v>
      </c>
      <c r="C116" s="2" t="str">
        <f>INDEX(รายการสาร!$B:$B,MATCH($B116,รายการสาร!$A:$A,0))</f>
        <v>น้ำยาเช็ดตัวคนไข้</v>
      </c>
      <c r="D116" s="2" t="str">
        <f>INDEX(รายการสาร!$C:$C,MATCH($B116,รายการสาร!$A:$A,0))</f>
        <v>Dermalux soft towel lotion</v>
      </c>
      <c r="E116" s="2" t="s">
        <v>263</v>
      </c>
      <c r="F116" s="2" t="s">
        <v>252</v>
      </c>
      <c r="G116" s="3"/>
      <c r="H116" s="3"/>
      <c r="I116" s="3"/>
      <c r="J116" s="3"/>
      <c r="K116" s="3"/>
      <c r="L116" s="3"/>
      <c r="M116" s="3"/>
      <c r="N116" s="3"/>
      <c r="O116" s="3" t="s">
        <v>23</v>
      </c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2" t="s">
        <v>257</v>
      </c>
      <c r="B117" s="3" t="s">
        <v>42</v>
      </c>
      <c r="C117" s="2" t="str">
        <f>INDEX(รายการสาร!$B:$B,MATCH($B117,รายการสาร!$A:$A,0))</f>
        <v>CHLORHEXIDINE SCRUB 4%</v>
      </c>
      <c r="D117" s="2" t="str">
        <f>INDEX(รายการสาร!$C:$C,MATCH($B117,รายการสาร!$A:$A,0))</f>
        <v>Hexene</v>
      </c>
      <c r="E117" s="2" t="s">
        <v>264</v>
      </c>
      <c r="F117" s="2" t="s">
        <v>122</v>
      </c>
      <c r="G117" s="3"/>
      <c r="H117" s="3"/>
      <c r="I117" s="3"/>
      <c r="J117" s="3"/>
      <c r="K117" s="3"/>
      <c r="L117" s="3"/>
      <c r="M117" s="3"/>
      <c r="N117" s="3"/>
      <c r="O117" s="3" t="s">
        <v>23</v>
      </c>
      <c r="P117" s="3"/>
      <c r="Q117" s="3" t="s">
        <v>23</v>
      </c>
      <c r="R117" s="3"/>
      <c r="S117" s="3"/>
      <c r="T117" s="3"/>
      <c r="U117" s="3"/>
      <c r="V117" s="3"/>
      <c r="W117" s="3"/>
    </row>
    <row r="118" spans="1:23" x14ac:dyDescent="0.25">
      <c r="A118" s="2" t="s">
        <v>257</v>
      </c>
      <c r="B118" s="3" t="s">
        <v>32</v>
      </c>
      <c r="C118" s="2" t="str">
        <f>INDEX(รายการสาร!$B:$B,MATCH($B118,รายการสาร!$A:$A,0))</f>
        <v>Gel ล้างมือติดผนัง</v>
      </c>
      <c r="D118" s="2" t="str">
        <f>INDEX(รายการสาร!$C:$C,MATCH($B118,รายการสาร!$A:$A,0))</f>
        <v>Purell</v>
      </c>
      <c r="E118" s="2" t="s">
        <v>246</v>
      </c>
      <c r="F118" s="2" t="s">
        <v>122</v>
      </c>
      <c r="G118" s="3"/>
      <c r="H118" s="3" t="s">
        <v>23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 t="s">
        <v>23</v>
      </c>
    </row>
    <row r="119" spans="1:23" ht="41.4" customHeight="1" x14ac:dyDescent="0.25">
      <c r="A119" s="2" t="s">
        <v>257</v>
      </c>
      <c r="B119" s="3" t="s">
        <v>113</v>
      </c>
      <c r="C119" s="2" t="str">
        <f>INDEX(รายการสาร!$B:$B,MATCH($B119,รายการสาร!$A:$A,0))</f>
        <v>น้ำยาล้างจาน</v>
      </c>
      <c r="D119" s="2" t="str">
        <f>INDEX(รายการสาร!$C:$C,MATCH($B119,รายการสาร!$A:$A,0))</f>
        <v>ไลปอนเอฟ หรือ มาวิน หรือ ซันไลต์</v>
      </c>
      <c r="E119" s="2" t="s">
        <v>250</v>
      </c>
      <c r="F119" s="2" t="s">
        <v>122</v>
      </c>
      <c r="G119" s="3"/>
      <c r="H119" s="3"/>
      <c r="I119" s="3"/>
      <c r="J119" s="3"/>
      <c r="K119" s="3"/>
      <c r="L119" s="3"/>
      <c r="M119" s="3"/>
      <c r="N119" s="3"/>
      <c r="O119" s="3" t="s">
        <v>23</v>
      </c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2" t="s">
        <v>257</v>
      </c>
      <c r="B120" s="3" t="s">
        <v>126</v>
      </c>
      <c r="C120" s="2" t="str">
        <f>INDEX(รายการสาร!$B:$B,MATCH($B120,รายการสาร!$A:$A,0))</f>
        <v>น้ำยาล้างเล็บ(LAPPA)</v>
      </c>
      <c r="D120" s="2" t="str">
        <f>INDEX(รายการสาร!$C:$C,MATCH($B120,รายการสาร!$A:$A,0))</f>
        <v>Polish Remover</v>
      </c>
      <c r="E120" s="2" t="s">
        <v>265</v>
      </c>
      <c r="F120" s="2" t="s">
        <v>122</v>
      </c>
      <c r="G120" s="3"/>
      <c r="H120" s="3" t="s">
        <v>23</v>
      </c>
      <c r="I120" s="3"/>
      <c r="J120" s="3"/>
      <c r="K120" s="3"/>
      <c r="L120" s="3"/>
      <c r="M120" s="3" t="s">
        <v>23</v>
      </c>
      <c r="N120" s="3"/>
      <c r="O120" s="3" t="s">
        <v>23</v>
      </c>
      <c r="P120" s="3"/>
      <c r="Q120" s="3" t="s">
        <v>23</v>
      </c>
      <c r="R120" s="3"/>
      <c r="S120" s="3"/>
      <c r="T120" s="3"/>
      <c r="U120" s="3"/>
      <c r="V120" s="3"/>
      <c r="W120" s="3" t="s">
        <v>23</v>
      </c>
    </row>
    <row r="121" spans="1:23" x14ac:dyDescent="0.25">
      <c r="A121" s="2" t="s">
        <v>257</v>
      </c>
      <c r="B121" s="3" t="s">
        <v>30</v>
      </c>
      <c r="C121" s="2" t="str">
        <f>INDEX(รายการสาร!$B:$B,MATCH($B121,รายการสาร!$A:$A,0))</f>
        <v>Ammonia</v>
      </c>
      <c r="D121" s="2" t="str">
        <f>INDEX(รายการสาร!$C:$C,MATCH($B121,รายการสาร!$A:$A,0))</f>
        <v>Ammonia</v>
      </c>
      <c r="E121" s="2" t="s">
        <v>227</v>
      </c>
      <c r="F121" s="2" t="s">
        <v>122</v>
      </c>
      <c r="G121" s="3"/>
      <c r="H121" s="3"/>
      <c r="I121" s="3"/>
      <c r="J121" s="3" t="s">
        <v>23</v>
      </c>
      <c r="K121" s="3" t="s">
        <v>23</v>
      </c>
      <c r="L121" s="3"/>
      <c r="M121" s="3" t="s">
        <v>23</v>
      </c>
      <c r="N121" s="3"/>
      <c r="O121" s="3"/>
      <c r="P121" s="3"/>
      <c r="Q121" s="3" t="s">
        <v>23</v>
      </c>
      <c r="R121" s="3" t="s">
        <v>23</v>
      </c>
      <c r="S121" s="3"/>
      <c r="T121" s="3"/>
      <c r="U121" s="3"/>
      <c r="V121" s="3"/>
      <c r="W121" s="3"/>
    </row>
    <row r="122" spans="1:23" x14ac:dyDescent="0.25">
      <c r="A122" s="2" t="s">
        <v>257</v>
      </c>
      <c r="B122" s="3" t="s">
        <v>73</v>
      </c>
      <c r="C122" s="2" t="str">
        <f>INDEX(รายการสาร!$B:$B,MATCH($B122,รายการสาร!$A:$A,0))</f>
        <v>chlorhexidine 2% in 70% alcohol</v>
      </c>
      <c r="D122" s="2" t="str">
        <f>INDEX(รายการสาร!$C:$C,MATCH($B122,รายการสาร!$A:$A,0))</f>
        <v>Prepskin-C</v>
      </c>
      <c r="E122" s="2" t="s">
        <v>266</v>
      </c>
      <c r="F122" s="2" t="s">
        <v>122</v>
      </c>
      <c r="G122" s="3"/>
      <c r="H122" s="3"/>
      <c r="I122" s="3"/>
      <c r="J122" s="3"/>
      <c r="K122" s="3"/>
      <c r="L122" s="3"/>
      <c r="M122" s="3"/>
      <c r="N122" s="3"/>
      <c r="O122" s="3" t="s">
        <v>23</v>
      </c>
      <c r="P122" s="3"/>
      <c r="Q122" s="3" t="s">
        <v>23</v>
      </c>
      <c r="R122" s="3"/>
      <c r="S122" s="3"/>
      <c r="T122" s="3"/>
      <c r="U122" s="3"/>
      <c r="V122" s="3"/>
      <c r="W122" s="3"/>
    </row>
    <row r="123" spans="1:23" ht="27.6" customHeight="1" x14ac:dyDescent="0.25">
      <c r="A123" s="2" t="s">
        <v>267</v>
      </c>
      <c r="B123" s="3" t="s">
        <v>60</v>
      </c>
      <c r="C123" s="2" t="str">
        <f>INDEX(รายการสาร!$B:$B,MATCH($B123,รายการสาร!$A:$A,0))</f>
        <v>GER-MA-WAY Disinfectant</v>
      </c>
      <c r="D123" s="2" t="str">
        <f>INDEX(รายการสาร!$C:$C,MATCH($B123,รายการสาร!$A:$A,0))</f>
        <v>GER-MA-WAY Disinfectant</v>
      </c>
      <c r="E123" s="2" t="s">
        <v>219</v>
      </c>
      <c r="F123" s="2" t="s">
        <v>122</v>
      </c>
      <c r="G123" s="3"/>
      <c r="H123" s="3"/>
      <c r="I123" s="3"/>
      <c r="J123" s="3"/>
      <c r="K123" s="3"/>
      <c r="L123" s="3"/>
      <c r="M123" s="3"/>
      <c r="N123" s="3"/>
      <c r="O123" s="3" t="s">
        <v>23</v>
      </c>
      <c r="P123" s="3"/>
      <c r="Q123" s="3"/>
      <c r="R123" s="3"/>
      <c r="S123" s="3"/>
      <c r="T123" s="3"/>
      <c r="U123" s="3"/>
      <c r="V123" s="3"/>
      <c r="W123" s="3"/>
    </row>
    <row r="124" spans="1:23" ht="27.6" x14ac:dyDescent="0.25">
      <c r="A124" s="2" t="s">
        <v>267</v>
      </c>
      <c r="B124" s="3" t="s">
        <v>32</v>
      </c>
      <c r="C124" s="2" t="str">
        <f>INDEX(รายการสาร!$B:$B,MATCH($B124,รายการสาร!$A:$A,0))</f>
        <v>Gel ล้างมือติดผนัง</v>
      </c>
      <c r="D124" s="2" t="str">
        <f>INDEX(รายการสาร!$C:$C,MATCH($B124,รายการสาร!$A:$A,0))</f>
        <v>Purell</v>
      </c>
      <c r="E124" s="2" t="s">
        <v>268</v>
      </c>
      <c r="F124" s="2" t="s">
        <v>122</v>
      </c>
      <c r="G124" s="3"/>
      <c r="H124" s="3" t="s">
        <v>23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 t="s">
        <v>23</v>
      </c>
    </row>
    <row r="125" spans="1:23" ht="27.6" x14ac:dyDescent="0.25">
      <c r="A125" s="2" t="s">
        <v>267</v>
      </c>
      <c r="B125" s="3" t="s">
        <v>42</v>
      </c>
      <c r="C125" s="2" t="str">
        <f>INDEX(รายการสาร!$B:$B,MATCH($B125,รายการสาร!$A:$A,0))</f>
        <v>CHLORHEXIDINE SCRUB 4%</v>
      </c>
      <c r="D125" s="2" t="str">
        <f>INDEX(รายการสาร!$C:$C,MATCH($B125,รายการสาร!$A:$A,0))</f>
        <v>Hexene</v>
      </c>
      <c r="E125" s="2" t="s">
        <v>253</v>
      </c>
      <c r="F125" s="2" t="s">
        <v>122</v>
      </c>
      <c r="G125" s="3"/>
      <c r="H125" s="3" t="s">
        <v>23</v>
      </c>
      <c r="I125" s="3"/>
      <c r="J125" s="3"/>
      <c r="K125" s="3"/>
      <c r="L125" s="3"/>
      <c r="M125" s="3" t="s">
        <v>23</v>
      </c>
      <c r="N125" s="3"/>
      <c r="O125" s="3"/>
      <c r="P125" s="3"/>
      <c r="Q125" s="3" t="s">
        <v>23</v>
      </c>
      <c r="R125" s="3"/>
      <c r="S125" s="3"/>
      <c r="T125" s="3"/>
      <c r="U125" s="3"/>
      <c r="V125" s="3"/>
      <c r="W125" s="3" t="s">
        <v>23</v>
      </c>
    </row>
    <row r="126" spans="1:23" ht="27.6" x14ac:dyDescent="0.25">
      <c r="A126" s="2" t="s">
        <v>267</v>
      </c>
      <c r="B126" s="3" t="s">
        <v>35</v>
      </c>
      <c r="C126" s="2" t="str">
        <f>INDEX(รายการสาร!$B:$B,MATCH($B126,รายการสาร!$A:$A,0))</f>
        <v>Alcohol Gel</v>
      </c>
      <c r="D126" s="2" t="str">
        <f>INDEX(รายการสาร!$C:$C,MATCH($B126,รายการสาร!$A:$A,0))</f>
        <v>Clear Hand Gel</v>
      </c>
      <c r="E126" s="2" t="s">
        <v>255</v>
      </c>
      <c r="F126" s="2" t="s">
        <v>122</v>
      </c>
      <c r="G126" s="3"/>
      <c r="H126" s="3" t="s">
        <v>23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 t="s">
        <v>23</v>
      </c>
    </row>
    <row r="127" spans="1:23" ht="27.6" x14ac:dyDescent="0.25">
      <c r="A127" s="2" t="s">
        <v>267</v>
      </c>
      <c r="B127" s="3" t="s">
        <v>20</v>
      </c>
      <c r="C127" s="2" t="str">
        <f>INDEX(รายการสาร!$B:$B,MATCH($B127,รายการสาร!$A:$A,0))</f>
        <v>คิมแคร์สบู่เหลวล้างมือ</v>
      </c>
      <c r="D127" s="2" t="str">
        <f>INDEX(รายการสาร!$C:$C,MATCH($B127,รายการสาร!$A:$A,0))</f>
        <v>Kimcare</v>
      </c>
      <c r="E127" s="2" t="s">
        <v>250</v>
      </c>
      <c r="F127" s="2" t="s">
        <v>117</v>
      </c>
      <c r="G127" s="3"/>
      <c r="H127" s="3"/>
      <c r="I127" s="3"/>
      <c r="J127" s="3"/>
      <c r="K127" s="3"/>
      <c r="L127" s="3"/>
      <c r="M127" s="3"/>
      <c r="N127" s="3"/>
      <c r="O127" s="3" t="s">
        <v>23</v>
      </c>
      <c r="P127" s="3"/>
      <c r="Q127" s="3"/>
      <c r="R127" s="3"/>
      <c r="S127" s="3"/>
      <c r="T127" s="3"/>
      <c r="U127" s="3"/>
      <c r="V127" s="3"/>
      <c r="W127" s="3"/>
    </row>
    <row r="128" spans="1:23" ht="41.4" customHeight="1" x14ac:dyDescent="0.25">
      <c r="A128" s="2" t="s">
        <v>267</v>
      </c>
      <c r="B128" s="3" t="s">
        <v>113</v>
      </c>
      <c r="C128" s="2" t="str">
        <f>INDEX(รายการสาร!$B:$B,MATCH($B128,รายการสาร!$A:$A,0))</f>
        <v>น้ำยาล้างจาน</v>
      </c>
      <c r="D128" s="2" t="str">
        <f>INDEX(รายการสาร!$C:$C,MATCH($B128,รายการสาร!$A:$A,0))</f>
        <v>ไลปอนเอฟ หรือ มาวิน หรือ ซันไลต์</v>
      </c>
      <c r="E128" s="2" t="s">
        <v>116</v>
      </c>
      <c r="F128" s="2" t="s">
        <v>236</v>
      </c>
      <c r="G128" s="3"/>
      <c r="H128" s="3"/>
      <c r="I128" s="3"/>
      <c r="J128" s="3"/>
      <c r="K128" s="3"/>
      <c r="L128" s="3"/>
      <c r="M128" s="3"/>
      <c r="N128" s="3"/>
      <c r="O128" s="3" t="s">
        <v>23</v>
      </c>
      <c r="P128" s="3"/>
      <c r="Q128" s="3"/>
      <c r="R128" s="3"/>
      <c r="S128" s="3"/>
      <c r="T128" s="3"/>
      <c r="U128" s="3"/>
      <c r="V128" s="3"/>
      <c r="W128" s="3"/>
    </row>
    <row r="129" spans="1:23" ht="27.6" x14ac:dyDescent="0.25">
      <c r="A129" s="2" t="s">
        <v>269</v>
      </c>
      <c r="B129" s="3" t="s">
        <v>45</v>
      </c>
      <c r="C129" s="2" t="str">
        <f>INDEX(รายการสาร!$B:$B,MATCH($B129,รายการสาร!$A:$A,0))</f>
        <v>Alcohol Pad</v>
      </c>
      <c r="D129" s="2" t="str">
        <f>INDEX(รายการสาร!$C:$C,MATCH($B129,รายการสาร!$A:$A,0))</f>
        <v>Neoplast</v>
      </c>
      <c r="E129" s="2" t="s">
        <v>270</v>
      </c>
      <c r="F129" s="2" t="s">
        <v>122</v>
      </c>
      <c r="G129" s="3"/>
      <c r="H129" s="3" t="s">
        <v>23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 t="s">
        <v>23</v>
      </c>
    </row>
    <row r="130" spans="1:23" ht="27.6" customHeight="1" x14ac:dyDescent="0.25">
      <c r="A130" s="2" t="s">
        <v>269</v>
      </c>
      <c r="B130" s="3" t="s">
        <v>60</v>
      </c>
      <c r="C130" s="2" t="str">
        <f>INDEX(รายการสาร!$B:$B,MATCH($B130,รายการสาร!$A:$A,0))</f>
        <v>GER-MA-WAY Disinfectant</v>
      </c>
      <c r="D130" s="2" t="str">
        <f>INDEX(รายการสาร!$C:$C,MATCH($B130,รายการสาร!$A:$A,0))</f>
        <v>GER-MA-WAY Disinfectant</v>
      </c>
      <c r="E130" s="2" t="s">
        <v>219</v>
      </c>
      <c r="F130" s="2" t="s">
        <v>122</v>
      </c>
      <c r="G130" s="3"/>
      <c r="H130" s="3"/>
      <c r="I130" s="3"/>
      <c r="J130" s="3"/>
      <c r="K130" s="3"/>
      <c r="L130" s="3"/>
      <c r="M130" s="3"/>
      <c r="N130" s="3"/>
      <c r="O130" s="3" t="s">
        <v>23</v>
      </c>
      <c r="P130" s="3"/>
      <c r="Q130" s="3"/>
      <c r="R130" s="3"/>
      <c r="S130" s="3"/>
      <c r="T130" s="3"/>
      <c r="U130" s="3"/>
      <c r="V130" s="3"/>
      <c r="W130" s="3"/>
    </row>
    <row r="131" spans="1:23" ht="27.6" x14ac:dyDescent="0.25">
      <c r="A131" s="2" t="s">
        <v>269</v>
      </c>
      <c r="B131" s="3" t="s">
        <v>32</v>
      </c>
      <c r="C131" s="2" t="str">
        <f>INDEX(รายการสาร!$B:$B,MATCH($B131,รายการสาร!$A:$A,0))</f>
        <v>Gel ล้างมือติดผนัง</v>
      </c>
      <c r="D131" s="2" t="str">
        <f>INDEX(รายการสาร!$C:$C,MATCH($B131,รายการสาร!$A:$A,0))</f>
        <v>Purell</v>
      </c>
      <c r="E131" s="2" t="s">
        <v>268</v>
      </c>
      <c r="F131" s="2" t="s">
        <v>122</v>
      </c>
      <c r="G131" s="3"/>
      <c r="H131" s="3" t="s">
        <v>23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 t="s">
        <v>23</v>
      </c>
    </row>
    <row r="132" spans="1:23" ht="27.6" x14ac:dyDescent="0.25">
      <c r="A132" s="2" t="s">
        <v>269</v>
      </c>
      <c r="B132" s="3" t="s">
        <v>42</v>
      </c>
      <c r="C132" s="2" t="str">
        <f>INDEX(รายการสาร!$B:$B,MATCH($B132,รายการสาร!$A:$A,0))</f>
        <v>CHLORHEXIDINE SCRUB 4%</v>
      </c>
      <c r="D132" s="2" t="str">
        <f>INDEX(รายการสาร!$C:$C,MATCH($B132,รายการสาร!$A:$A,0))</f>
        <v>Hexene</v>
      </c>
      <c r="E132" s="2" t="s">
        <v>253</v>
      </c>
      <c r="F132" s="2" t="s">
        <v>122</v>
      </c>
      <c r="G132" s="3"/>
      <c r="H132" s="3" t="s">
        <v>23</v>
      </c>
      <c r="I132" s="3"/>
      <c r="J132" s="3"/>
      <c r="K132" s="3"/>
      <c r="L132" s="3"/>
      <c r="M132" s="3" t="s">
        <v>23</v>
      </c>
      <c r="N132" s="3"/>
      <c r="O132" s="3"/>
      <c r="P132" s="3"/>
      <c r="Q132" s="3" t="s">
        <v>23</v>
      </c>
      <c r="R132" s="3"/>
      <c r="S132" s="3"/>
      <c r="T132" s="3"/>
      <c r="U132" s="3"/>
      <c r="V132" s="3"/>
      <c r="W132" s="3" t="s">
        <v>23</v>
      </c>
    </row>
    <row r="133" spans="1:23" ht="27.6" x14ac:dyDescent="0.25">
      <c r="A133" s="2" t="s">
        <v>269</v>
      </c>
      <c r="B133" s="3" t="s">
        <v>35</v>
      </c>
      <c r="C133" s="2" t="str">
        <f>INDEX(รายการสาร!$B:$B,MATCH($B133,รายการสาร!$A:$A,0))</f>
        <v>Alcohol Gel</v>
      </c>
      <c r="D133" s="2" t="str">
        <f>INDEX(รายการสาร!$C:$C,MATCH($B133,รายการสาร!$A:$A,0))</f>
        <v>Clear Hand Gel</v>
      </c>
      <c r="E133" s="2" t="s">
        <v>255</v>
      </c>
      <c r="F133" s="2" t="s">
        <v>122</v>
      </c>
      <c r="G133" s="3"/>
      <c r="H133" s="3" t="s">
        <v>23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 t="s">
        <v>23</v>
      </c>
    </row>
    <row r="134" spans="1:23" ht="27.6" x14ac:dyDescent="0.25">
      <c r="A134" s="2" t="s">
        <v>269</v>
      </c>
      <c r="B134" s="3" t="s">
        <v>20</v>
      </c>
      <c r="C134" s="2" t="str">
        <f>INDEX(รายการสาร!$B:$B,MATCH($B134,รายการสาร!$A:$A,0))</f>
        <v>คิมแคร์สบู่เหลวล้างมือ</v>
      </c>
      <c r="D134" s="2" t="str">
        <f>INDEX(รายการสาร!$C:$C,MATCH($B134,รายการสาร!$A:$A,0))</f>
        <v>Kimcare</v>
      </c>
      <c r="E134" s="2" t="s">
        <v>250</v>
      </c>
      <c r="F134" s="2" t="s">
        <v>117</v>
      </c>
      <c r="G134" s="3"/>
      <c r="H134" s="3"/>
      <c r="I134" s="3"/>
      <c r="J134" s="3"/>
      <c r="K134" s="3"/>
      <c r="L134" s="3"/>
      <c r="M134" s="3"/>
      <c r="N134" s="3"/>
      <c r="O134" s="3" t="s">
        <v>23</v>
      </c>
      <c r="P134" s="3"/>
      <c r="Q134" s="3"/>
      <c r="R134" s="3"/>
      <c r="S134" s="3"/>
      <c r="T134" s="3"/>
      <c r="U134" s="3"/>
      <c r="V134" s="3"/>
      <c r="W134" s="3"/>
    </row>
    <row r="135" spans="1:23" ht="41.4" customHeight="1" x14ac:dyDescent="0.25">
      <c r="A135" s="2" t="s">
        <v>269</v>
      </c>
      <c r="B135" s="3" t="s">
        <v>113</v>
      </c>
      <c r="C135" s="2" t="str">
        <f>INDEX(รายการสาร!$B:$B,MATCH($B135,รายการสาร!$A:$A,0))</f>
        <v>น้ำยาล้างจาน</v>
      </c>
      <c r="D135" s="2" t="str">
        <f>INDEX(รายการสาร!$C:$C,MATCH($B135,รายการสาร!$A:$A,0))</f>
        <v>ไลปอนเอฟ หรือ มาวิน หรือ ซันไลต์</v>
      </c>
      <c r="E135" s="2" t="s">
        <v>116</v>
      </c>
      <c r="F135" s="2" t="s">
        <v>236</v>
      </c>
      <c r="G135" s="3"/>
      <c r="H135" s="3"/>
      <c r="I135" s="3"/>
      <c r="J135" s="3"/>
      <c r="K135" s="3"/>
      <c r="L135" s="3"/>
      <c r="M135" s="3"/>
      <c r="N135" s="3"/>
      <c r="O135" s="3" t="s">
        <v>23</v>
      </c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2" t="s">
        <v>271</v>
      </c>
      <c r="B136" s="3" t="s">
        <v>45</v>
      </c>
      <c r="C136" s="2" t="str">
        <f>INDEX(รายการสาร!$B:$B,MATCH($B136,รายการสาร!$A:$A,0))</f>
        <v>Alcohol Pad</v>
      </c>
      <c r="D136" s="2" t="str">
        <f>INDEX(รายการสาร!$C:$C,MATCH($B136,รายการสาร!$A:$A,0))</f>
        <v>Neoplast</v>
      </c>
      <c r="E136" s="2" t="s">
        <v>258</v>
      </c>
      <c r="F136" s="2" t="s">
        <v>122</v>
      </c>
      <c r="G136" s="3" t="s">
        <v>23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2" t="s">
        <v>271</v>
      </c>
      <c r="B137" s="3" t="s">
        <v>35</v>
      </c>
      <c r="C137" s="2" t="str">
        <f>INDEX(รายการสาร!$B:$B,MATCH($B137,รายการสาร!$A:$A,0))</f>
        <v>Alcohol Gel</v>
      </c>
      <c r="D137" s="2" t="str">
        <f>INDEX(รายการสาร!$C:$C,MATCH($B137,รายการสาร!$A:$A,0))</f>
        <v>Clear Hand Gel</v>
      </c>
      <c r="E137" s="2" t="s">
        <v>255</v>
      </c>
      <c r="F137" s="2" t="s">
        <v>122</v>
      </c>
      <c r="G137" s="3"/>
      <c r="H137" s="3" t="s">
        <v>23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 t="s">
        <v>23</v>
      </c>
    </row>
    <row r="138" spans="1:23" x14ac:dyDescent="0.25">
      <c r="A138" s="2" t="s">
        <v>271</v>
      </c>
      <c r="B138" s="3" t="s">
        <v>30</v>
      </c>
      <c r="C138" s="2" t="str">
        <f>INDEX(รายการสาร!$B:$B,MATCH($B138,รายการสาร!$A:$A,0))</f>
        <v>Ammonia</v>
      </c>
      <c r="D138" s="2" t="str">
        <f>INDEX(รายการสาร!$C:$C,MATCH($B138,รายการสาร!$A:$A,0))</f>
        <v>Ammonia</v>
      </c>
      <c r="E138" s="2" t="s">
        <v>232</v>
      </c>
      <c r="F138" s="2" t="s">
        <v>122</v>
      </c>
      <c r="G138" s="3"/>
      <c r="H138" s="3"/>
      <c r="I138" s="3"/>
      <c r="J138" s="3" t="s">
        <v>23</v>
      </c>
      <c r="K138" s="3" t="s">
        <v>23</v>
      </c>
      <c r="L138" s="3"/>
      <c r="M138" s="3" t="s">
        <v>23</v>
      </c>
      <c r="N138" s="3"/>
      <c r="O138" s="3"/>
      <c r="P138" s="3"/>
      <c r="Q138" s="3" t="s">
        <v>23</v>
      </c>
      <c r="R138" s="3" t="s">
        <v>23</v>
      </c>
      <c r="S138" s="3"/>
      <c r="T138" s="3"/>
      <c r="U138" s="3"/>
      <c r="V138" s="3"/>
      <c r="W138" s="3"/>
    </row>
    <row r="139" spans="1:23" x14ac:dyDescent="0.25">
      <c r="A139" s="2" t="s">
        <v>271</v>
      </c>
      <c r="B139" s="3" t="s">
        <v>57</v>
      </c>
      <c r="C139" s="2" t="str">
        <f>INDEX(รายการสาร!$B:$B,MATCH($B139,รายการสาร!$A:$A,0))</f>
        <v>Q-bac4 soap liquid</v>
      </c>
      <c r="D139" s="2" t="str">
        <f>INDEX(รายการสาร!$C:$C,MATCH($B139,รายการสาร!$A:$A,0))</f>
        <v>Q-bac4</v>
      </c>
      <c r="E139" s="2" t="s">
        <v>128</v>
      </c>
      <c r="F139" s="2" t="s">
        <v>122</v>
      </c>
      <c r="G139" s="3"/>
      <c r="H139" s="3"/>
      <c r="I139" s="3"/>
      <c r="J139" s="3"/>
      <c r="K139" s="3"/>
      <c r="L139" s="3"/>
      <c r="M139" s="3"/>
      <c r="N139" s="3"/>
      <c r="O139" s="3" t="s">
        <v>23</v>
      </c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2" t="s">
        <v>271</v>
      </c>
      <c r="B140" s="3" t="s">
        <v>259</v>
      </c>
      <c r="C140" s="2" t="str">
        <f>INDEX(รายการสาร!$B:$B,MATCH($B140,รายการสาร!$A:$A,0))</f>
        <v>สบู่เหลวล้างมือ</v>
      </c>
      <c r="D140" s="2" t="str">
        <f>INDEX(รายการสาร!$C:$C,MATCH($B140,รายการสาร!$A:$A,0))</f>
        <v>Kimcare</v>
      </c>
      <c r="E140" s="2" t="s">
        <v>256</v>
      </c>
      <c r="F140" s="2" t="s">
        <v>122</v>
      </c>
      <c r="G140" s="3"/>
      <c r="H140" s="3"/>
      <c r="I140" s="3"/>
      <c r="J140" s="3"/>
      <c r="K140" s="3"/>
      <c r="L140" s="3"/>
      <c r="M140" s="3"/>
      <c r="N140" s="3"/>
      <c r="O140" s="3" t="s">
        <v>23</v>
      </c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2" t="s">
        <v>271</v>
      </c>
      <c r="B141" s="3" t="s">
        <v>260</v>
      </c>
      <c r="C141" s="2" t="str">
        <f>INDEX(รายการสาร!$B:$B,MATCH($B141,รายการสาร!$A:$A,0))</f>
        <v>Betadine solution</v>
      </c>
      <c r="D141" s="2" t="str">
        <f>INDEX(รายการสาร!$C:$C,MATCH($B141,รายการสาร!$A:$A,0))</f>
        <v>Betadine</v>
      </c>
      <c r="E141" s="2"/>
      <c r="F141" s="2" t="s">
        <v>122</v>
      </c>
      <c r="G141" s="3"/>
      <c r="H141" s="3"/>
      <c r="I141" s="3"/>
      <c r="J141" s="3"/>
      <c r="K141" s="3"/>
      <c r="L141" s="3"/>
      <c r="M141" s="3"/>
      <c r="N141" s="3"/>
      <c r="O141" s="3" t="s">
        <v>23</v>
      </c>
      <c r="P141" s="3"/>
      <c r="Q141" s="3" t="s">
        <v>23</v>
      </c>
      <c r="R141" s="3"/>
      <c r="S141" s="3"/>
      <c r="T141" s="3"/>
      <c r="U141" s="3"/>
      <c r="V141" s="3"/>
      <c r="W141" s="3"/>
    </row>
    <row r="142" spans="1:23" x14ac:dyDescent="0.25">
      <c r="A142" s="2" t="s">
        <v>271</v>
      </c>
      <c r="B142" s="3" t="s">
        <v>70</v>
      </c>
      <c r="C142" s="2" t="str">
        <f>INDEX(รายการสาร!$B:$B,MATCH($B142,รายการสาร!$A:$A,0))</f>
        <v>70% Alcohol</v>
      </c>
      <c r="D142" s="2" t="str">
        <f>INDEX(รายการสาร!$C:$C,MATCH($B142,รายการสาร!$A:$A,0))</f>
        <v>70% Alcohol</v>
      </c>
      <c r="E142" s="2" t="s">
        <v>261</v>
      </c>
      <c r="F142" s="2" t="s">
        <v>122</v>
      </c>
      <c r="G142" s="3"/>
      <c r="H142" s="3" t="s">
        <v>23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 t="s">
        <v>23</v>
      </c>
    </row>
    <row r="143" spans="1:23" ht="27.6" customHeight="1" x14ac:dyDescent="0.25">
      <c r="A143" s="2" t="s">
        <v>271</v>
      </c>
      <c r="B143" s="3" t="s">
        <v>67</v>
      </c>
      <c r="C143" s="2" t="str">
        <f>INDEX(รายการสาร!$B:$B,MATCH($B143,รายการสาร!$A:$A,0))</f>
        <v>น้ำยาเช็ดตัวคนไข้</v>
      </c>
      <c r="D143" s="2" t="str">
        <f>INDEX(รายการสาร!$C:$C,MATCH($B143,รายการสาร!$A:$A,0))</f>
        <v>Dermalux soft towel lotion</v>
      </c>
      <c r="E143" s="2" t="s">
        <v>263</v>
      </c>
      <c r="F143" s="2" t="s">
        <v>252</v>
      </c>
      <c r="G143" s="3"/>
      <c r="H143" s="3"/>
      <c r="I143" s="3"/>
      <c r="J143" s="3"/>
      <c r="K143" s="3"/>
      <c r="L143" s="3"/>
      <c r="M143" s="3"/>
      <c r="N143" s="3"/>
      <c r="O143" s="3" t="s">
        <v>23</v>
      </c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2" t="s">
        <v>271</v>
      </c>
      <c r="B144" s="3" t="s">
        <v>42</v>
      </c>
      <c r="C144" s="2" t="str">
        <f>INDEX(รายการสาร!$B:$B,MATCH($B144,รายการสาร!$A:$A,0))</f>
        <v>CHLORHEXIDINE SCRUB 4%</v>
      </c>
      <c r="D144" s="2" t="str">
        <f>INDEX(รายการสาร!$C:$C,MATCH($B144,รายการสาร!$A:$A,0))</f>
        <v>Hexene</v>
      </c>
      <c r="E144" s="2" t="s">
        <v>264</v>
      </c>
      <c r="F144" s="2" t="s">
        <v>122</v>
      </c>
      <c r="G144" s="3"/>
      <c r="H144" s="3"/>
      <c r="I144" s="3"/>
      <c r="J144" s="3"/>
      <c r="K144" s="3"/>
      <c r="L144" s="3"/>
      <c r="M144" s="3"/>
      <c r="N144" s="3"/>
      <c r="O144" s="3" t="s">
        <v>23</v>
      </c>
      <c r="P144" s="3"/>
      <c r="Q144" s="3" t="s">
        <v>23</v>
      </c>
      <c r="R144" s="3"/>
      <c r="S144" s="3"/>
      <c r="T144" s="3"/>
      <c r="U144" s="3"/>
      <c r="V144" s="3"/>
      <c r="W144" s="3"/>
    </row>
    <row r="145" spans="1:23" x14ac:dyDescent="0.25">
      <c r="A145" s="2" t="s">
        <v>271</v>
      </c>
      <c r="B145" s="3" t="s">
        <v>32</v>
      </c>
      <c r="C145" s="2" t="str">
        <f>INDEX(รายการสาร!$B:$B,MATCH($B145,รายการสาร!$A:$A,0))</f>
        <v>Gel ล้างมือติดผนัง</v>
      </c>
      <c r="D145" s="2" t="str">
        <f>INDEX(รายการสาร!$C:$C,MATCH($B145,รายการสาร!$A:$A,0))</f>
        <v>Purell</v>
      </c>
      <c r="E145" s="2" t="s">
        <v>246</v>
      </c>
      <c r="F145" s="2" t="s">
        <v>122</v>
      </c>
      <c r="G145" s="3"/>
      <c r="H145" s="3" t="s">
        <v>23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 t="s">
        <v>23</v>
      </c>
    </row>
    <row r="146" spans="1:23" ht="41.4" customHeight="1" x14ac:dyDescent="0.25">
      <c r="A146" s="2" t="s">
        <v>271</v>
      </c>
      <c r="B146" s="3" t="s">
        <v>113</v>
      </c>
      <c r="C146" s="2" t="str">
        <f>INDEX(รายการสาร!$B:$B,MATCH($B146,รายการสาร!$A:$A,0))</f>
        <v>น้ำยาล้างจาน</v>
      </c>
      <c r="D146" s="2" t="str">
        <f>INDEX(รายการสาร!$C:$C,MATCH($B146,รายการสาร!$A:$A,0))</f>
        <v>ไลปอนเอฟ หรือ มาวิน หรือ ซันไลต์</v>
      </c>
      <c r="E146" s="2" t="s">
        <v>250</v>
      </c>
      <c r="F146" s="2" t="s">
        <v>122</v>
      </c>
      <c r="G146" s="3"/>
      <c r="H146" s="3"/>
      <c r="I146" s="3"/>
      <c r="J146" s="3"/>
      <c r="K146" s="3"/>
      <c r="L146" s="3"/>
      <c r="M146" s="3"/>
      <c r="N146" s="3"/>
      <c r="O146" s="3" t="s">
        <v>23</v>
      </c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2" t="s">
        <v>271</v>
      </c>
      <c r="B147" s="3" t="s">
        <v>126</v>
      </c>
      <c r="C147" s="2" t="str">
        <f>INDEX(รายการสาร!$B:$B,MATCH($B147,รายการสาร!$A:$A,0))</f>
        <v>น้ำยาล้างเล็บ(LAPPA)</v>
      </c>
      <c r="D147" s="2" t="str">
        <f>INDEX(รายการสาร!$C:$C,MATCH($B147,รายการสาร!$A:$A,0))</f>
        <v>Polish Remover</v>
      </c>
      <c r="E147" s="2" t="s">
        <v>265</v>
      </c>
      <c r="F147" s="2" t="s">
        <v>122</v>
      </c>
      <c r="G147" s="3"/>
      <c r="H147" s="3" t="s">
        <v>23</v>
      </c>
      <c r="I147" s="3"/>
      <c r="J147" s="3"/>
      <c r="K147" s="3"/>
      <c r="L147" s="3"/>
      <c r="M147" s="3" t="s">
        <v>23</v>
      </c>
      <c r="N147" s="3"/>
      <c r="O147" s="3" t="s">
        <v>23</v>
      </c>
      <c r="P147" s="3"/>
      <c r="Q147" s="3" t="s">
        <v>23</v>
      </c>
      <c r="R147" s="3"/>
      <c r="S147" s="3"/>
      <c r="T147" s="3"/>
      <c r="U147" s="3"/>
      <c r="V147" s="3"/>
      <c r="W147" s="3" t="s">
        <v>23</v>
      </c>
    </row>
    <row r="148" spans="1:23" x14ac:dyDescent="0.25">
      <c r="A148" s="2" t="s">
        <v>271</v>
      </c>
      <c r="B148" s="3" t="s">
        <v>73</v>
      </c>
      <c r="C148" s="2" t="str">
        <f>INDEX(รายการสาร!$B:$B,MATCH($B148,รายการสาร!$A:$A,0))</f>
        <v>chlorhexidine 2% in 70% alcohol</v>
      </c>
      <c r="D148" s="2" t="str">
        <f>INDEX(รายการสาร!$C:$C,MATCH($B148,รายการสาร!$A:$A,0))</f>
        <v>Prepskin-C</v>
      </c>
      <c r="E148" s="2" t="s">
        <v>266</v>
      </c>
      <c r="F148" s="2" t="s">
        <v>122</v>
      </c>
      <c r="G148" s="3"/>
      <c r="H148" s="3"/>
      <c r="I148" s="3"/>
      <c r="J148" s="3"/>
      <c r="K148" s="3"/>
      <c r="L148" s="3"/>
      <c r="M148" s="3"/>
      <c r="N148" s="3"/>
      <c r="O148" s="3" t="s">
        <v>23</v>
      </c>
      <c r="P148" s="3"/>
      <c r="Q148" s="3" t="s">
        <v>23</v>
      </c>
      <c r="R148" s="3"/>
      <c r="S148" s="3"/>
      <c r="T148" s="3"/>
      <c r="U148" s="3"/>
      <c r="V148" s="3"/>
      <c r="W148" s="3"/>
    </row>
    <row r="149" spans="1:23" ht="27.6" customHeight="1" x14ac:dyDescent="0.25">
      <c r="A149" s="2" t="s">
        <v>76</v>
      </c>
      <c r="B149" s="3" t="s">
        <v>60</v>
      </c>
      <c r="C149" s="2" t="str">
        <f>INDEX(รายการสาร!$B:$B,MATCH($B149,รายการสาร!$A:$A,0))</f>
        <v>GER-MA-WAY Disinfectant</v>
      </c>
      <c r="D149" s="2" t="str">
        <f>INDEX(รายการสาร!$C:$C,MATCH($B149,รายการสาร!$A:$A,0))</f>
        <v>GER-MA-WAY Disinfectant</v>
      </c>
      <c r="E149" s="2" t="s">
        <v>219</v>
      </c>
      <c r="F149" s="2" t="s">
        <v>122</v>
      </c>
      <c r="G149" s="3"/>
      <c r="H149" s="3"/>
      <c r="I149" s="3"/>
      <c r="J149" s="3"/>
      <c r="K149" s="3"/>
      <c r="L149" s="3"/>
      <c r="M149" s="3"/>
      <c r="N149" s="3"/>
      <c r="O149" s="3" t="s">
        <v>23</v>
      </c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2" t="s">
        <v>76</v>
      </c>
      <c r="B150" s="3" t="s">
        <v>30</v>
      </c>
      <c r="C150" s="2" t="str">
        <f>INDEX(รายการสาร!$B:$B,MATCH($B150,รายการสาร!$A:$A,0))</f>
        <v>Ammonia</v>
      </c>
      <c r="D150" s="2" t="str">
        <f>INDEX(รายการสาร!$C:$C,MATCH($B150,รายการสาร!$A:$A,0))</f>
        <v>Ammonia</v>
      </c>
      <c r="E150" s="2" t="s">
        <v>272</v>
      </c>
      <c r="F150" s="2" t="s">
        <v>122</v>
      </c>
      <c r="G150" s="3"/>
      <c r="H150" s="3"/>
      <c r="I150" s="3"/>
      <c r="J150" s="3" t="s">
        <v>23</v>
      </c>
      <c r="K150" s="3" t="s">
        <v>23</v>
      </c>
      <c r="L150" s="3"/>
      <c r="M150" s="3" t="s">
        <v>23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7.6" customHeight="1" x14ac:dyDescent="0.25">
      <c r="A151" s="2" t="s">
        <v>76</v>
      </c>
      <c r="B151" s="3" t="s">
        <v>273</v>
      </c>
      <c r="C151" s="2" t="str">
        <f>INDEX(รายการสาร!$B:$B,MATCH($B151,รายการสาร!$A:$A,0))</f>
        <v>Betadine solution</v>
      </c>
      <c r="D151" s="2" t="str">
        <f>INDEX(รายการสาร!$C:$C,MATCH($B151,รายการสาร!$A:$A,0))</f>
        <v>Betadine solution</v>
      </c>
      <c r="E151" s="2" t="s">
        <v>274</v>
      </c>
      <c r="F151" s="2" t="s">
        <v>122</v>
      </c>
      <c r="G151" s="3"/>
      <c r="H151" s="3"/>
      <c r="I151" s="3"/>
      <c r="J151" s="3"/>
      <c r="K151" s="3"/>
      <c r="L151" s="3"/>
      <c r="M151" s="3" t="s">
        <v>23</v>
      </c>
      <c r="N151" s="3"/>
      <c r="O151" s="3"/>
      <c r="P151" s="3"/>
      <c r="Q151" s="3" t="s">
        <v>23</v>
      </c>
      <c r="R151" s="3"/>
      <c r="S151" s="3"/>
      <c r="T151" s="3"/>
      <c r="U151" s="3"/>
      <c r="V151" s="3"/>
      <c r="W151" s="3"/>
    </row>
    <row r="152" spans="1:23" x14ac:dyDescent="0.25">
      <c r="A152" s="2" t="s">
        <v>76</v>
      </c>
      <c r="B152" s="3" t="s">
        <v>45</v>
      </c>
      <c r="C152" s="2" t="str">
        <f>INDEX(รายการสาร!$B:$B,MATCH($B152,รายการสาร!$A:$A,0))</f>
        <v>Alcohol Pad</v>
      </c>
      <c r="D152" s="2" t="str">
        <f>INDEX(รายการสาร!$C:$C,MATCH($B152,รายการสาร!$A:$A,0))</f>
        <v>Neoplast</v>
      </c>
      <c r="E152" s="2" t="s">
        <v>275</v>
      </c>
      <c r="F152" s="2" t="s">
        <v>122</v>
      </c>
      <c r="G152" s="3"/>
      <c r="H152" s="3" t="s">
        <v>23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s">
        <v>23</v>
      </c>
    </row>
    <row r="153" spans="1:23" x14ac:dyDescent="0.25">
      <c r="A153" s="2" t="s">
        <v>76</v>
      </c>
      <c r="B153" s="3" t="s">
        <v>276</v>
      </c>
      <c r="C153" s="2" t="str">
        <f>INDEX(รายการสาร!$B:$B,MATCH($B153,รายการสาร!$A:$A,0))</f>
        <v>Alcohol Gel</v>
      </c>
      <c r="D153" s="2" t="str">
        <f>INDEX(รายการสาร!$C:$C,MATCH($B153,รายการสาร!$A:$A,0))</f>
        <v>Clean hand Gel</v>
      </c>
      <c r="E153" s="2" t="s">
        <v>277</v>
      </c>
      <c r="F153" s="2" t="s">
        <v>122</v>
      </c>
      <c r="G153" s="3"/>
      <c r="H153" s="3" t="s">
        <v>23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 t="s">
        <v>23</v>
      </c>
    </row>
    <row r="154" spans="1:23" ht="27.6" customHeight="1" x14ac:dyDescent="0.25">
      <c r="A154" s="2" t="s">
        <v>76</v>
      </c>
      <c r="B154" s="3" t="s">
        <v>67</v>
      </c>
      <c r="C154" s="2" t="str">
        <f>INDEX(รายการสาร!$B:$B,MATCH($B154,รายการสาร!$A:$A,0))</f>
        <v>น้ำยาเช็ดตัวคนไข้</v>
      </c>
      <c r="D154" s="2" t="str">
        <f>INDEX(รายการสาร!$C:$C,MATCH($B154,รายการสาร!$A:$A,0))</f>
        <v>Dermalux soft towel lotion</v>
      </c>
      <c r="E154" s="2" t="s">
        <v>251</v>
      </c>
      <c r="F154" s="2" t="s">
        <v>252</v>
      </c>
      <c r="G154" s="3"/>
      <c r="H154" s="3"/>
      <c r="I154" s="3"/>
      <c r="J154" s="3"/>
      <c r="K154" s="3"/>
      <c r="L154" s="3"/>
      <c r="M154" s="3"/>
      <c r="N154" s="3"/>
      <c r="O154" s="3" t="s">
        <v>23</v>
      </c>
      <c r="P154" s="3"/>
      <c r="Q154" s="3" t="s">
        <v>23</v>
      </c>
      <c r="R154" s="3"/>
      <c r="S154" s="3"/>
      <c r="T154" s="3"/>
      <c r="U154" s="3"/>
      <c r="V154" s="3"/>
      <c r="W154" s="3"/>
    </row>
    <row r="155" spans="1:23" x14ac:dyDescent="0.25">
      <c r="A155" s="2" t="s">
        <v>76</v>
      </c>
      <c r="B155" s="3" t="s">
        <v>77</v>
      </c>
      <c r="C155" s="2" t="str">
        <f>INDEX(รายการสาร!$B:$B,MATCH($B155,รายการสาร!$A:$A,0))</f>
        <v>Chlorhexidine scrub 4 %</v>
      </c>
      <c r="D155" s="2" t="str">
        <f>INDEX(รายการสาร!$C:$C,MATCH($B155,รายการสาร!$A:$A,0))</f>
        <v>Hexene</v>
      </c>
      <c r="E155" s="2" t="s">
        <v>264</v>
      </c>
      <c r="F155" s="2" t="s">
        <v>122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7.6" customHeight="1" x14ac:dyDescent="0.25">
      <c r="A156" s="2" t="s">
        <v>76</v>
      </c>
      <c r="B156" s="3" t="s">
        <v>26</v>
      </c>
      <c r="C156" s="2" t="str">
        <f>INDEX(รายการสาร!$B:$B,MATCH($B156,รายการสาร!$A:$A,0))</f>
        <v>70% alcohol</v>
      </c>
      <c r="D156" s="2" t="str">
        <f>INDEX(รายการสาร!$C:$C,MATCH($B156,รายการสาร!$A:$A,0))</f>
        <v>Preservative solution 70%</v>
      </c>
      <c r="E156" s="2" t="s">
        <v>278</v>
      </c>
      <c r="F156" s="2" t="s">
        <v>122</v>
      </c>
      <c r="G156" s="3"/>
      <c r="H156" s="3" t="s">
        <v>23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 t="s">
        <v>23</v>
      </c>
    </row>
    <row r="157" spans="1:23" ht="41.4" customHeight="1" x14ac:dyDescent="0.25">
      <c r="A157" s="2" t="s">
        <v>76</v>
      </c>
      <c r="B157" s="3" t="s">
        <v>113</v>
      </c>
      <c r="C157" s="2" t="str">
        <f>INDEX(รายการสาร!$B:$B,MATCH($B157,รายการสาร!$A:$A,0))</f>
        <v>น้ำยาล้างจาน</v>
      </c>
      <c r="D157" s="2" t="str">
        <f>INDEX(รายการสาร!$C:$C,MATCH($B157,รายการสาร!$A:$A,0))</f>
        <v>ไลปอนเอฟ หรือ มาวิน หรือ ซันไลต์</v>
      </c>
      <c r="E157" s="2" t="s">
        <v>256</v>
      </c>
      <c r="F157" s="2" t="s">
        <v>236</v>
      </c>
      <c r="G157" s="3"/>
      <c r="H157" s="3"/>
      <c r="I157" s="3"/>
      <c r="J157" s="3"/>
      <c r="K157" s="3"/>
      <c r="L157" s="3"/>
      <c r="M157" s="3"/>
      <c r="N157" s="3"/>
      <c r="O157" s="3" t="s">
        <v>23</v>
      </c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2" t="s">
        <v>76</v>
      </c>
      <c r="B158" s="3" t="s">
        <v>20</v>
      </c>
      <c r="C158" s="2" t="str">
        <f>INDEX(รายการสาร!$B:$B,MATCH($B158,รายการสาร!$A:$A,0))</f>
        <v>คิมแคร์สบู่เหลวล้างมือ</v>
      </c>
      <c r="D158" s="2" t="str">
        <f>INDEX(รายการสาร!$C:$C,MATCH($B158,รายการสาร!$A:$A,0))</f>
        <v>Kimcare</v>
      </c>
      <c r="E158" s="2" t="s">
        <v>250</v>
      </c>
      <c r="F158" s="2" t="s">
        <v>117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2" t="s">
        <v>76</v>
      </c>
      <c r="B159" s="3" t="s">
        <v>126</v>
      </c>
      <c r="C159" s="2" t="str">
        <f>INDEX(รายการสาร!$B:$B,MATCH($B159,รายการสาร!$A:$A,0))</f>
        <v>น้ำยาล้างเล็บ(LAPPA)</v>
      </c>
      <c r="D159" s="2" t="str">
        <f>INDEX(รายการสาร!$C:$C,MATCH($B159,รายการสาร!$A:$A,0))</f>
        <v>Polish Remover</v>
      </c>
      <c r="E159" s="2" t="s">
        <v>279</v>
      </c>
      <c r="F159" s="2" t="s">
        <v>122</v>
      </c>
      <c r="G159" s="3"/>
      <c r="H159" s="3" t="s">
        <v>23</v>
      </c>
      <c r="I159" s="3"/>
      <c r="J159" s="3"/>
      <c r="K159" s="3"/>
      <c r="L159" s="3"/>
      <c r="M159" s="3" t="s">
        <v>23</v>
      </c>
      <c r="N159" s="3"/>
      <c r="O159" s="3" t="s">
        <v>23</v>
      </c>
      <c r="P159" s="3"/>
      <c r="Q159" s="3" t="s">
        <v>23</v>
      </c>
      <c r="R159" s="3"/>
      <c r="S159" s="3"/>
      <c r="T159" s="3"/>
      <c r="U159" s="3"/>
      <c r="V159" s="3"/>
      <c r="W159" s="3" t="s">
        <v>23</v>
      </c>
    </row>
    <row r="160" spans="1:23" x14ac:dyDescent="0.25">
      <c r="A160" s="2" t="s">
        <v>76</v>
      </c>
      <c r="B160" s="3" t="s">
        <v>73</v>
      </c>
      <c r="C160" s="2" t="str">
        <f>INDEX(รายการสาร!$B:$B,MATCH($B160,รายการสาร!$A:$A,0))</f>
        <v>chlorhexidine 2% in 70% alcohol</v>
      </c>
      <c r="D160" s="2" t="str">
        <f>INDEX(รายการสาร!$C:$C,MATCH($B160,รายการสาร!$A:$A,0))</f>
        <v>Prepskin-C</v>
      </c>
      <c r="E160" s="2" t="s">
        <v>280</v>
      </c>
      <c r="F160" s="2" t="s">
        <v>122</v>
      </c>
      <c r="G160" s="3"/>
      <c r="H160" s="3" t="s">
        <v>23</v>
      </c>
      <c r="I160" s="3"/>
      <c r="J160" s="3"/>
      <c r="K160" s="3"/>
      <c r="L160" s="3"/>
      <c r="M160" s="3"/>
      <c r="N160" s="3"/>
      <c r="O160" s="3" t="s">
        <v>23</v>
      </c>
      <c r="P160" s="3"/>
      <c r="Q160" s="3"/>
      <c r="R160" s="3"/>
      <c r="S160" s="3"/>
      <c r="T160" s="3"/>
      <c r="U160" s="3"/>
      <c r="V160" s="3"/>
      <c r="W160" s="3" t="s">
        <v>23</v>
      </c>
    </row>
    <row r="161" spans="1:23" x14ac:dyDescent="0.25">
      <c r="A161" s="2" t="s">
        <v>76</v>
      </c>
      <c r="B161" s="3" t="s">
        <v>57</v>
      </c>
      <c r="C161" s="2" t="str">
        <f>INDEX(รายการสาร!$B:$B,MATCH($B161,รายการสาร!$A:$A,0))</f>
        <v>Q-bac4 soap liquid</v>
      </c>
      <c r="D161" s="2" t="str">
        <f>INDEX(รายการสาร!$C:$C,MATCH($B161,รายการสาร!$A:$A,0))</f>
        <v>Q-bac4</v>
      </c>
      <c r="E161" s="2" t="s">
        <v>128</v>
      </c>
      <c r="F161" s="2" t="s">
        <v>117</v>
      </c>
      <c r="G161" s="3"/>
      <c r="H161" s="3"/>
      <c r="I161" s="3"/>
      <c r="J161" s="3"/>
      <c r="K161" s="3"/>
      <c r="L161" s="3"/>
      <c r="M161" s="3"/>
      <c r="N161" s="3"/>
      <c r="O161" s="3" t="s">
        <v>23</v>
      </c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2" t="s">
        <v>76</v>
      </c>
      <c r="B162" s="3" t="s">
        <v>32</v>
      </c>
      <c r="C162" s="2" t="str">
        <f>INDEX(รายการสาร!$B:$B,MATCH($B162,รายการสาร!$A:$A,0))</f>
        <v>Gel ล้างมือติดผนัง</v>
      </c>
      <c r="D162" s="2" t="str">
        <f>INDEX(รายการสาร!$C:$C,MATCH($B162,รายการสาร!$A:$A,0))</f>
        <v>Purell</v>
      </c>
      <c r="E162" s="2" t="s">
        <v>246</v>
      </c>
      <c r="F162" s="2" t="s">
        <v>122</v>
      </c>
      <c r="G162" s="3"/>
      <c r="H162" s="3" t="s">
        <v>23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 t="s">
        <v>23</v>
      </c>
    </row>
    <row r="163" spans="1:23" ht="27.6" customHeight="1" x14ac:dyDescent="0.25">
      <c r="A163" s="2" t="s">
        <v>281</v>
      </c>
      <c r="B163" s="3" t="s">
        <v>26</v>
      </c>
      <c r="C163" s="2" t="str">
        <f>INDEX(รายการสาร!$B:$B,MATCH($B163,รายการสาร!$A:$A,0))</f>
        <v>70% alcohol</v>
      </c>
      <c r="D163" s="2" t="str">
        <f>INDEX(รายการสาร!$C:$C,MATCH($B163,รายการสาร!$A:$A,0))</f>
        <v>Preservative solution 70%</v>
      </c>
      <c r="E163" s="2" t="s">
        <v>282</v>
      </c>
      <c r="F163" s="2" t="s">
        <v>122</v>
      </c>
      <c r="G163" s="3"/>
      <c r="H163" s="3" t="s">
        <v>23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 t="s">
        <v>23</v>
      </c>
    </row>
    <row r="164" spans="1:23" x14ac:dyDescent="0.25">
      <c r="A164" s="2" t="s">
        <v>281</v>
      </c>
      <c r="B164" s="3" t="s">
        <v>283</v>
      </c>
      <c r="C164" s="2" t="str">
        <f>INDEX(รายการสาร!$B:$B,MATCH($B164,รายการสาร!$A:$A,0))</f>
        <v>Frekaderm</v>
      </c>
      <c r="D164" s="2" t="str">
        <f>INDEX(รายการสาร!$C:$C,MATCH($B164,รายการสาร!$A:$A,0))</f>
        <v>Frekaderm</v>
      </c>
      <c r="E164" s="2" t="s">
        <v>284</v>
      </c>
      <c r="F164" s="2" t="s">
        <v>122</v>
      </c>
      <c r="G164" s="3"/>
      <c r="H164" s="3"/>
      <c r="I164" s="3"/>
      <c r="J164" s="3"/>
      <c r="K164" s="3"/>
      <c r="L164" s="3"/>
      <c r="M164" s="3"/>
      <c r="N164" s="3"/>
      <c r="O164" s="3" t="s">
        <v>23</v>
      </c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2" t="s">
        <v>281</v>
      </c>
      <c r="B165" s="3" t="s">
        <v>285</v>
      </c>
      <c r="C165" s="2" t="str">
        <f>INDEX(รายการสาร!$B:$B,MATCH($B165,รายการสาร!$A:$A,0))</f>
        <v>30 % citric acid</v>
      </c>
      <c r="D165" s="2">
        <f>INDEX(รายการสาร!$C:$C,MATCH($B165,รายการสาร!$A:$A,0))</f>
        <v>0</v>
      </c>
      <c r="E165" s="2" t="s">
        <v>286</v>
      </c>
      <c r="F165" s="2" t="s">
        <v>287</v>
      </c>
      <c r="G165" s="3"/>
      <c r="H165" s="3"/>
      <c r="I165" s="3"/>
      <c r="J165" s="3"/>
      <c r="K165" s="3"/>
      <c r="L165" s="3"/>
      <c r="M165" s="3" t="s">
        <v>23</v>
      </c>
      <c r="N165" s="3"/>
      <c r="O165" s="3"/>
      <c r="P165" s="3"/>
      <c r="Q165" s="3" t="s">
        <v>23</v>
      </c>
      <c r="R165" s="3"/>
      <c r="S165" s="3"/>
      <c r="T165" s="3"/>
      <c r="U165" s="3"/>
      <c r="V165" s="3" t="s">
        <v>23</v>
      </c>
      <c r="W165" s="3"/>
    </row>
    <row r="166" spans="1:23" x14ac:dyDescent="0.25">
      <c r="A166" s="2" t="s">
        <v>281</v>
      </c>
      <c r="B166" s="3" t="s">
        <v>288</v>
      </c>
      <c r="C166" s="2" t="str">
        <f>INDEX(รายการสาร!$B:$B,MATCH($B166,รายการสาร!$A:$A,0))</f>
        <v>Sodium hypochlorite</v>
      </c>
      <c r="D166" s="2" t="str">
        <f>INDEX(รายการสาร!$C:$C,MATCH($B166,รายการสาร!$A:$A,0))</f>
        <v>5% chlorox</v>
      </c>
      <c r="E166" s="2" t="s">
        <v>289</v>
      </c>
      <c r="F166" s="2" t="s">
        <v>287</v>
      </c>
      <c r="G166" s="3"/>
      <c r="H166" s="3"/>
      <c r="I166" s="3"/>
      <c r="J166" s="3" t="s">
        <v>23</v>
      </c>
      <c r="K166" s="3"/>
      <c r="L166" s="3"/>
      <c r="M166" s="3"/>
      <c r="N166" s="3" t="s">
        <v>23</v>
      </c>
      <c r="O166" s="3"/>
      <c r="P166" s="3"/>
      <c r="Q166" s="3" t="s">
        <v>23</v>
      </c>
      <c r="R166" s="3" t="s">
        <v>23</v>
      </c>
      <c r="S166" s="3"/>
      <c r="T166" s="3"/>
      <c r="U166" s="3"/>
      <c r="V166" s="3" t="s">
        <v>23</v>
      </c>
      <c r="W166" s="3"/>
    </row>
    <row r="167" spans="1:23" x14ac:dyDescent="0.25">
      <c r="A167" s="2" t="s">
        <v>281</v>
      </c>
      <c r="B167" s="3" t="s">
        <v>290</v>
      </c>
      <c r="C167" s="2" t="str">
        <f>INDEX(รายการสาร!$B:$B,MATCH($B167,รายการสาร!$A:$A,0))</f>
        <v>citrosteril</v>
      </c>
      <c r="D167" s="2">
        <f>INDEX(รายการสาร!$C:$C,MATCH($B167,รายการสาร!$A:$A,0))</f>
        <v>0</v>
      </c>
      <c r="E167" s="2" t="s">
        <v>291</v>
      </c>
      <c r="F167" s="2" t="s">
        <v>287</v>
      </c>
      <c r="G167" s="3"/>
      <c r="H167" s="3"/>
      <c r="I167" s="3"/>
      <c r="J167" s="3"/>
      <c r="K167" s="3"/>
      <c r="L167" s="3"/>
      <c r="M167" s="3"/>
      <c r="N167" s="3"/>
      <c r="O167" s="3" t="s">
        <v>23</v>
      </c>
      <c r="P167" s="3"/>
      <c r="Q167" s="3"/>
      <c r="R167" s="3"/>
      <c r="S167" s="3"/>
      <c r="T167" s="3"/>
      <c r="U167" s="3"/>
      <c r="V167" s="3" t="s">
        <v>23</v>
      </c>
      <c r="W167" s="3"/>
    </row>
    <row r="168" spans="1:23" x14ac:dyDescent="0.25">
      <c r="A168" s="2" t="s">
        <v>281</v>
      </c>
      <c r="B168" s="3" t="s">
        <v>292</v>
      </c>
      <c r="C168" s="2" t="str">
        <f>INDEX(รายการสาร!$B:$B,MATCH($B168,รายการสาร!$A:$A,0))</f>
        <v>peracitic acid</v>
      </c>
      <c r="D168" s="2">
        <f>INDEX(รายการสาร!$C:$C,MATCH($B168,รายการสาร!$A:$A,0))</f>
        <v>0</v>
      </c>
      <c r="E168" s="2" t="s">
        <v>293</v>
      </c>
      <c r="F168" s="2" t="s">
        <v>287</v>
      </c>
      <c r="G168" s="3" t="s">
        <v>23</v>
      </c>
      <c r="H168" s="3" t="s">
        <v>23</v>
      </c>
      <c r="I168" s="3"/>
      <c r="J168" s="3"/>
      <c r="K168" s="3"/>
      <c r="L168" s="3"/>
      <c r="M168" s="3" t="s">
        <v>23</v>
      </c>
      <c r="N168" s="3"/>
      <c r="O168" s="3" t="s">
        <v>23</v>
      </c>
      <c r="P168" s="3"/>
      <c r="Q168" s="3" t="s">
        <v>23</v>
      </c>
      <c r="R168" s="3" t="s">
        <v>23</v>
      </c>
      <c r="S168" s="3"/>
      <c r="T168" s="3"/>
      <c r="U168" s="3"/>
      <c r="V168" s="3" t="s">
        <v>23</v>
      </c>
      <c r="W168" s="3" t="s">
        <v>23</v>
      </c>
    </row>
    <row r="169" spans="1:23" ht="41.4" customHeight="1" x14ac:dyDescent="0.25">
      <c r="A169" s="2" t="s">
        <v>281</v>
      </c>
      <c r="B169" s="3" t="s">
        <v>113</v>
      </c>
      <c r="C169" s="2" t="str">
        <f>INDEX(รายการสาร!$B:$B,MATCH($B169,รายการสาร!$A:$A,0))</f>
        <v>น้ำยาล้างจาน</v>
      </c>
      <c r="D169" s="2" t="str">
        <f>INDEX(รายการสาร!$C:$C,MATCH($B169,รายการสาร!$A:$A,0))</f>
        <v>ไลปอนเอฟ หรือ มาวิน หรือ ซันไลต์</v>
      </c>
      <c r="E169" s="2" t="s">
        <v>111</v>
      </c>
      <c r="F169" s="2"/>
      <c r="G169" s="3"/>
      <c r="H169" s="3"/>
      <c r="I169" s="3"/>
      <c r="J169" s="3"/>
      <c r="K169" s="3"/>
      <c r="L169" s="3"/>
      <c r="M169" s="3"/>
      <c r="N169" s="3"/>
      <c r="O169" s="3" t="s">
        <v>23</v>
      </c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2" t="s">
        <v>281</v>
      </c>
      <c r="B170" s="3" t="s">
        <v>20</v>
      </c>
      <c r="C170" s="2" t="str">
        <f>INDEX(รายการสาร!$B:$B,MATCH($B170,รายการสาร!$A:$A,0))</f>
        <v>คิมแคร์สบู่เหลวล้างมือ</v>
      </c>
      <c r="D170" s="2" t="str">
        <f>INDEX(รายการสาร!$C:$C,MATCH($B170,รายการสาร!$A:$A,0))</f>
        <v>Kimcare</v>
      </c>
      <c r="E170" s="2" t="s">
        <v>111</v>
      </c>
      <c r="F170" s="2" t="s">
        <v>236</v>
      </c>
      <c r="G170" s="3"/>
      <c r="H170" s="3"/>
      <c r="I170" s="3"/>
      <c r="J170" s="3"/>
      <c r="K170" s="3"/>
      <c r="L170" s="3"/>
      <c r="M170" s="3"/>
      <c r="N170" s="3"/>
      <c r="O170" s="3" t="s">
        <v>23</v>
      </c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2" t="s">
        <v>281</v>
      </c>
      <c r="B171" s="3" t="s">
        <v>294</v>
      </c>
      <c r="C171" s="2" t="str">
        <f>INDEX(รายการสาร!$B:$B,MATCH($B171,รายการสาร!$A:$A,0))</f>
        <v>Chlorhexidine</v>
      </c>
      <c r="D171" s="2" t="str">
        <f>INDEX(รายการสาร!$C:$C,MATCH($B171,รายการสาร!$A:$A,0))</f>
        <v>Q-Bac 2A</v>
      </c>
      <c r="E171" s="2" t="s">
        <v>295</v>
      </c>
      <c r="F171" s="2" t="s">
        <v>122</v>
      </c>
      <c r="G171" s="3"/>
      <c r="H171" s="3" t="s">
        <v>23</v>
      </c>
      <c r="I171" s="3"/>
      <c r="J171" s="3"/>
      <c r="K171" s="3"/>
      <c r="L171" s="3"/>
      <c r="M171" s="3"/>
      <c r="N171" s="3"/>
      <c r="O171" s="3" t="s">
        <v>23</v>
      </c>
      <c r="P171" s="3"/>
      <c r="Q171" s="3"/>
      <c r="R171" s="3"/>
      <c r="S171" s="3"/>
      <c r="T171" s="3"/>
      <c r="U171" s="3"/>
      <c r="V171" s="3"/>
      <c r="W171" s="3" t="s">
        <v>23</v>
      </c>
    </row>
    <row r="172" spans="1:23" x14ac:dyDescent="0.25">
      <c r="A172" s="2" t="s">
        <v>281</v>
      </c>
      <c r="B172" s="3" t="s">
        <v>32</v>
      </c>
      <c r="C172" s="2" t="str">
        <f>INDEX(รายการสาร!$B:$B,MATCH($B172,รายการสาร!$A:$A,0))</f>
        <v>Gel ล้างมือติดผนัง</v>
      </c>
      <c r="D172" s="2" t="str">
        <f>INDEX(รายการสาร!$C:$C,MATCH($B172,รายการสาร!$A:$A,0))</f>
        <v>Purell</v>
      </c>
      <c r="E172" s="2" t="s">
        <v>128</v>
      </c>
      <c r="F172" s="2" t="s">
        <v>129</v>
      </c>
      <c r="G172" s="3"/>
      <c r="H172" s="3" t="s">
        <v>23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 t="s">
        <v>23</v>
      </c>
    </row>
    <row r="173" spans="1:23" x14ac:dyDescent="0.25">
      <c r="A173" s="2" t="s">
        <v>281</v>
      </c>
      <c r="B173" s="3" t="s">
        <v>296</v>
      </c>
      <c r="C173" s="2" t="str">
        <f>INDEX(รายการสาร!$B:$B,MATCH($B173,รายการสาร!$A:$A,0))</f>
        <v>2% chlohexidine in 70% alcohol</v>
      </c>
      <c r="D173" s="2" t="str">
        <f>INDEX(รายการสาร!$C:$C,MATCH($B173,รายการสาร!$A:$A,0))</f>
        <v>Prepskin-C</v>
      </c>
      <c r="E173" s="2" t="s">
        <v>297</v>
      </c>
      <c r="F173" s="2" t="s">
        <v>119</v>
      </c>
      <c r="G173" s="3"/>
      <c r="H173" s="3" t="s">
        <v>23</v>
      </c>
      <c r="I173" s="3"/>
      <c r="J173" s="3"/>
      <c r="K173" s="3"/>
      <c r="L173" s="3"/>
      <c r="M173" s="3"/>
      <c r="N173" s="3"/>
      <c r="O173" s="3" t="s">
        <v>23</v>
      </c>
      <c r="P173" s="3"/>
      <c r="Q173" s="3" t="s">
        <v>23</v>
      </c>
      <c r="R173" s="3"/>
      <c r="S173" s="3"/>
      <c r="T173" s="3"/>
      <c r="U173" s="3"/>
      <c r="V173" s="3"/>
      <c r="W173" s="3" t="s">
        <v>23</v>
      </c>
    </row>
    <row r="174" spans="1:23" ht="27.6" customHeight="1" x14ac:dyDescent="0.25">
      <c r="A174" s="2" t="s">
        <v>84</v>
      </c>
      <c r="B174" s="3" t="s">
        <v>298</v>
      </c>
      <c r="C174" s="2" t="str">
        <f>INDEX(รายการสาร!$B:$B,MATCH($B174,รายการสาร!$A:$A,0))</f>
        <v>Chlorhexidine solution (2%)</v>
      </c>
      <c r="D174" s="2" t="str">
        <f>INDEX(รายการสาร!$C:$C,MATCH($B174,รายการสาร!$A:$A,0))</f>
        <v>Chlorhexidine solution (2%)</v>
      </c>
      <c r="E174" s="2" t="s">
        <v>299</v>
      </c>
      <c r="F174" s="2" t="s">
        <v>300</v>
      </c>
      <c r="G174" s="3"/>
      <c r="H174" s="3" t="s">
        <v>23</v>
      </c>
      <c r="I174" s="3"/>
      <c r="J174" s="3"/>
      <c r="K174" s="3"/>
      <c r="L174" s="3"/>
      <c r="M174" s="3" t="s">
        <v>23</v>
      </c>
      <c r="N174" s="3"/>
      <c r="O174" s="3"/>
      <c r="P174" s="3"/>
      <c r="Q174" s="3" t="s">
        <v>23</v>
      </c>
      <c r="R174" s="3" t="s">
        <v>23</v>
      </c>
      <c r="S174" s="3"/>
      <c r="T174" s="3"/>
      <c r="U174" s="3"/>
      <c r="V174" s="3"/>
      <c r="W174" s="3" t="s">
        <v>23</v>
      </c>
    </row>
    <row r="175" spans="1:23" ht="41.4" customHeight="1" x14ac:dyDescent="0.25">
      <c r="A175" s="2" t="s">
        <v>84</v>
      </c>
      <c r="B175" s="3" t="s">
        <v>301</v>
      </c>
      <c r="C175" s="2" t="str">
        <f>INDEX(รายการสาร!$B:$B,MATCH($B175,รายการสาร!$A:$A,0))</f>
        <v>EDTA 17% solution : aionsyme plus</v>
      </c>
      <c r="D175" s="2" t="str">
        <f>INDEX(รายการสาร!$C:$C,MATCH($B175,รายการสาร!$A:$A,0))</f>
        <v>EDTA 17% solution : aionsyme plus</v>
      </c>
      <c r="E175" s="2" t="s">
        <v>302</v>
      </c>
      <c r="F175" s="2" t="s">
        <v>300</v>
      </c>
      <c r="G175" s="3"/>
      <c r="H175" s="3" t="s">
        <v>23</v>
      </c>
      <c r="I175" s="3"/>
      <c r="J175" s="3"/>
      <c r="K175" s="3"/>
      <c r="L175" s="3"/>
      <c r="M175" s="3" t="s">
        <v>23</v>
      </c>
      <c r="N175" s="3"/>
      <c r="O175" s="3" t="s">
        <v>23</v>
      </c>
      <c r="P175" s="3"/>
      <c r="Q175" s="3" t="s">
        <v>23</v>
      </c>
      <c r="R175" s="3" t="s">
        <v>23</v>
      </c>
      <c r="S175" s="3"/>
      <c r="T175" s="3"/>
      <c r="U175" s="3"/>
      <c r="V175" s="3"/>
      <c r="W175" s="3" t="s">
        <v>23</v>
      </c>
    </row>
    <row r="176" spans="1:23" ht="27.6" customHeight="1" x14ac:dyDescent="0.25">
      <c r="A176" s="2" t="s">
        <v>84</v>
      </c>
      <c r="B176" s="3" t="s">
        <v>303</v>
      </c>
      <c r="C176" s="2" t="str">
        <f>INDEX(รายการสาร!$B:$B,MATCH($B176,รายการสาร!$A:$A,0))</f>
        <v>Ethy alcohol 70%</v>
      </c>
      <c r="D176" s="2" t="str">
        <f>INDEX(รายการสาร!$C:$C,MATCH($B176,รายการสาร!$A:$A,0))</f>
        <v>Preservative solution 70%</v>
      </c>
      <c r="E176" s="2" t="s">
        <v>304</v>
      </c>
      <c r="F176" s="2" t="s">
        <v>300</v>
      </c>
      <c r="G176" s="3"/>
      <c r="H176" s="3" t="s">
        <v>23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 t="s">
        <v>23</v>
      </c>
    </row>
    <row r="177" spans="1:23" ht="41.4" customHeight="1" x14ac:dyDescent="0.25">
      <c r="A177" s="2" t="s">
        <v>84</v>
      </c>
      <c r="B177" s="3" t="s">
        <v>113</v>
      </c>
      <c r="C177" s="2" t="str">
        <f>INDEX(รายการสาร!$B:$B,MATCH($B177,รายการสาร!$A:$A,0))</f>
        <v>น้ำยาล้างจาน</v>
      </c>
      <c r="D177" s="2" t="str">
        <f>INDEX(รายการสาร!$C:$C,MATCH($B177,รายการสาร!$A:$A,0))</f>
        <v>ไลปอนเอฟ หรือ มาวิน หรือ ซันไลต์</v>
      </c>
      <c r="E177" s="2" t="s">
        <v>111</v>
      </c>
      <c r="F177" s="2" t="s">
        <v>300</v>
      </c>
      <c r="G177" s="3"/>
      <c r="H177" s="3"/>
      <c r="I177" s="3"/>
      <c r="J177" s="3"/>
      <c r="K177" s="3"/>
      <c r="L177" s="3"/>
      <c r="M177" s="3"/>
      <c r="N177" s="3"/>
      <c r="O177" s="3" t="s">
        <v>23</v>
      </c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2" t="s">
        <v>84</v>
      </c>
      <c r="B178" s="3" t="s">
        <v>305</v>
      </c>
      <c r="C178" s="2" t="str">
        <f>INDEX(รายการสาร!$B:$B,MATCH($B178,รายการสาร!$A:$A,0))</f>
        <v>95 % Alcohol</v>
      </c>
      <c r="D178" s="2" t="str">
        <f>INDEX(รายการสาร!$C:$C,MATCH($B178,รายการสาร!$A:$A,0))</f>
        <v>95 % Alcohol</v>
      </c>
      <c r="E178" s="2" t="s">
        <v>306</v>
      </c>
      <c r="F178" s="2" t="s">
        <v>300</v>
      </c>
      <c r="G178" s="3"/>
      <c r="H178" s="3" t="s">
        <v>23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 t="s">
        <v>23</v>
      </c>
    </row>
    <row r="179" spans="1:23" x14ac:dyDescent="0.25">
      <c r="A179" s="2" t="s">
        <v>84</v>
      </c>
      <c r="B179" s="3" t="s">
        <v>307</v>
      </c>
      <c r="C179" s="2" t="str">
        <f>INDEX(รายการสาร!$B:$B,MATCH($B179,รายการสาร!$A:$A,0))</f>
        <v>Mybacin</v>
      </c>
      <c r="D179" s="2" t="str">
        <f>INDEX(รายการสาร!$C:$C,MATCH($B179,รายการสาร!$A:$A,0))</f>
        <v>Mybacin</v>
      </c>
      <c r="E179" s="2" t="s">
        <v>308</v>
      </c>
      <c r="F179" s="2" t="s">
        <v>300</v>
      </c>
      <c r="G179" s="3"/>
      <c r="H179" s="3"/>
      <c r="I179" s="3"/>
      <c r="J179" s="3"/>
      <c r="K179" s="3"/>
      <c r="L179" s="3"/>
      <c r="M179" s="3"/>
      <c r="N179" s="3"/>
      <c r="O179" s="3" t="s">
        <v>23</v>
      </c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2" t="s">
        <v>84</v>
      </c>
      <c r="B180" s="3" t="s">
        <v>30</v>
      </c>
      <c r="C180" s="2" t="str">
        <f>INDEX(รายการสาร!$B:$B,MATCH($B180,รายการสาร!$A:$A,0))</f>
        <v>Ammonia</v>
      </c>
      <c r="D180" s="2" t="str">
        <f>INDEX(รายการสาร!$C:$C,MATCH($B180,รายการสาร!$A:$A,0))</f>
        <v>Ammonia</v>
      </c>
      <c r="E180" s="2" t="s">
        <v>309</v>
      </c>
      <c r="F180" s="2" t="s">
        <v>300</v>
      </c>
      <c r="G180" s="3"/>
      <c r="H180" s="3"/>
      <c r="I180" s="3"/>
      <c r="J180" s="3" t="s">
        <v>23</v>
      </c>
      <c r="K180" s="3" t="s">
        <v>23</v>
      </c>
      <c r="L180" s="3"/>
      <c r="M180" s="3" t="s">
        <v>23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7.6" customHeight="1" x14ac:dyDescent="0.25">
      <c r="A181" s="2" t="s">
        <v>84</v>
      </c>
      <c r="B181" s="3" t="s">
        <v>80</v>
      </c>
      <c r="C181" s="2" t="str">
        <f>INDEX(รายการสาร!$B:$B,MATCH($B181,รายการสาร!$A:$A,0))</f>
        <v>Hydrogen peroxide</v>
      </c>
      <c r="D181" s="2" t="str">
        <f>INDEX(รายการสาร!$C:$C,MATCH($B181,รายการสาร!$A:$A,0))</f>
        <v>Hydrogen peroxide</v>
      </c>
      <c r="E181" s="2" t="s">
        <v>310</v>
      </c>
      <c r="F181" s="2" t="s">
        <v>300</v>
      </c>
      <c r="G181" s="3" t="s">
        <v>23</v>
      </c>
      <c r="H181" s="3"/>
      <c r="I181" s="3"/>
      <c r="J181" s="3"/>
      <c r="K181" s="3" t="s">
        <v>23</v>
      </c>
      <c r="L181" s="3"/>
      <c r="M181" s="3"/>
      <c r="N181" s="3"/>
      <c r="O181" s="3"/>
      <c r="P181" s="3"/>
      <c r="Q181" s="3" t="s">
        <v>23</v>
      </c>
      <c r="R181" s="3"/>
      <c r="S181" s="3"/>
      <c r="T181" s="3"/>
      <c r="U181" s="3"/>
      <c r="V181" s="3"/>
      <c r="W181" s="3"/>
    </row>
    <row r="182" spans="1:23" x14ac:dyDescent="0.25">
      <c r="A182" s="2" t="s">
        <v>84</v>
      </c>
      <c r="B182" s="3" t="s">
        <v>311</v>
      </c>
      <c r="C182" s="2" t="str">
        <f>INDEX(รายการสาร!$B:$B,MATCH($B182,รายการสาร!$A:$A,0))</f>
        <v>Chlorhexidine scrub (4%)</v>
      </c>
      <c r="D182" s="2" t="str">
        <f>INDEX(รายการสาร!$C:$C,MATCH($B182,รายการสาร!$A:$A,0))</f>
        <v>Hexene</v>
      </c>
      <c r="E182" s="2" t="s">
        <v>312</v>
      </c>
      <c r="F182" s="2" t="s">
        <v>300</v>
      </c>
      <c r="G182" s="3"/>
      <c r="H182" s="3"/>
      <c r="I182" s="3"/>
      <c r="J182" s="3"/>
      <c r="K182" s="3"/>
      <c r="L182" s="3"/>
      <c r="M182" s="3"/>
      <c r="N182" s="3"/>
      <c r="O182" s="3" t="s">
        <v>23</v>
      </c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2" t="s">
        <v>84</v>
      </c>
      <c r="B183" s="3" t="s">
        <v>82</v>
      </c>
      <c r="C183" s="2" t="str">
        <f>INDEX(รายการสาร!$B:$B,MATCH($B183,รายการสาร!$A:$A,0))</f>
        <v>Acetone</v>
      </c>
      <c r="D183" s="2" t="str">
        <f>INDEX(รายการสาร!$C:$C,MATCH($B183,รายการสาร!$A:$A,0))</f>
        <v>Acetone</v>
      </c>
      <c r="E183" s="2" t="s">
        <v>310</v>
      </c>
      <c r="F183" s="2" t="s">
        <v>300</v>
      </c>
      <c r="G183" s="3"/>
      <c r="H183" s="3" t="s">
        <v>23</v>
      </c>
      <c r="I183" s="3"/>
      <c r="J183" s="3"/>
      <c r="K183" s="3"/>
      <c r="L183" s="3"/>
      <c r="M183" s="3" t="s">
        <v>23</v>
      </c>
      <c r="N183" s="3"/>
      <c r="O183" s="3" t="s">
        <v>23</v>
      </c>
      <c r="P183" s="3"/>
      <c r="Q183" s="3" t="s">
        <v>23</v>
      </c>
      <c r="R183" s="3"/>
      <c r="S183" s="3"/>
      <c r="T183" s="3"/>
      <c r="U183" s="3"/>
      <c r="V183" s="3"/>
      <c r="W183" s="3" t="s">
        <v>23</v>
      </c>
    </row>
    <row r="184" spans="1:23" x14ac:dyDescent="0.25">
      <c r="A184" s="2" t="s">
        <v>84</v>
      </c>
      <c r="B184" s="3" t="s">
        <v>313</v>
      </c>
      <c r="C184" s="2" t="str">
        <f>INDEX(รายการสาร!$B:$B,MATCH($B184,รายการสาร!$A:$A,0))</f>
        <v>Service oil</v>
      </c>
      <c r="D184" s="2" t="str">
        <f>INDEX(รายการสาร!$C:$C,MATCH($B184,รายการสาร!$A:$A,0))</f>
        <v>Service oil</v>
      </c>
      <c r="E184" s="2" t="s">
        <v>314</v>
      </c>
      <c r="F184" s="2" t="s">
        <v>300</v>
      </c>
      <c r="G184" s="3"/>
      <c r="H184" s="3" t="s">
        <v>23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 t="s">
        <v>23</v>
      </c>
    </row>
    <row r="185" spans="1:23" ht="27.6" customHeight="1" x14ac:dyDescent="0.25">
      <c r="A185" s="2" t="s">
        <v>84</v>
      </c>
      <c r="B185" s="3" t="s">
        <v>315</v>
      </c>
      <c r="C185" s="2" t="str">
        <f>INDEX(รายการสาร!$B:$B,MATCH($B185,รายการสาร!$A:$A,0))</f>
        <v>Zeta 5 unit(Aspirators)</v>
      </c>
      <c r="D185" s="2" t="str">
        <f>INDEX(รายการสาร!$C:$C,MATCH($B185,รายการสาร!$A:$A,0))</f>
        <v>Zeta 5 unit(Aspirators)</v>
      </c>
      <c r="E185" s="2" t="s">
        <v>316</v>
      </c>
      <c r="F185" s="2" t="s">
        <v>300</v>
      </c>
      <c r="G185" s="3"/>
      <c r="H185" s="3"/>
      <c r="I185" s="3"/>
      <c r="J185" s="3"/>
      <c r="K185" s="3" t="s">
        <v>23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 t="s">
        <v>23</v>
      </c>
      <c r="W185" s="3"/>
    </row>
    <row r="186" spans="1:23" x14ac:dyDescent="0.25">
      <c r="A186" s="2" t="s">
        <v>84</v>
      </c>
      <c r="B186" s="3" t="s">
        <v>317</v>
      </c>
      <c r="C186" s="2" t="str">
        <f>INDEX(รายการสาร!$B:$B,MATCH($B186,รายการสาร!$A:$A,0))</f>
        <v>Clorox 5% (Sodium Hypochlorite)</v>
      </c>
      <c r="D186" s="2" t="str">
        <f>INDEX(รายการสาร!$C:$C,MATCH($B186,รายการสาร!$A:$A,0))</f>
        <v>Clorox 5%</v>
      </c>
      <c r="E186" s="2" t="s">
        <v>318</v>
      </c>
      <c r="F186" s="2" t="s">
        <v>319</v>
      </c>
      <c r="G186" s="3"/>
      <c r="H186" s="3"/>
      <c r="I186" s="3"/>
      <c r="J186" s="3"/>
      <c r="K186" s="3"/>
      <c r="L186" s="3"/>
      <c r="M186" s="3"/>
      <c r="N186" s="3"/>
      <c r="O186" s="3" t="s">
        <v>23</v>
      </c>
      <c r="P186" s="3"/>
      <c r="Q186" s="3" t="s">
        <v>23</v>
      </c>
      <c r="R186" s="3" t="s">
        <v>23</v>
      </c>
      <c r="S186" s="3"/>
      <c r="T186" s="3"/>
      <c r="U186" s="3"/>
      <c r="V186" s="3" t="s">
        <v>23</v>
      </c>
      <c r="W186" s="3"/>
    </row>
    <row r="187" spans="1:23" x14ac:dyDescent="0.25">
      <c r="A187" s="2" t="s">
        <v>84</v>
      </c>
      <c r="B187" s="3" t="s">
        <v>320</v>
      </c>
      <c r="C187" s="2" t="str">
        <f>INDEX(รายการสาร!$B:$B,MATCH($B187,รายการสาร!$A:$A,0))</f>
        <v>clear Hand Gel</v>
      </c>
      <c r="D187" s="2" t="str">
        <f>INDEX(รายการสาร!$C:$C,MATCH($B187,รายการสาร!$A:$A,0))</f>
        <v>clear Hand Gel</v>
      </c>
      <c r="E187" s="2" t="s">
        <v>321</v>
      </c>
      <c r="F187" s="2" t="s">
        <v>300</v>
      </c>
      <c r="G187" s="3"/>
      <c r="H187" s="3" t="s">
        <v>23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 t="s">
        <v>23</v>
      </c>
    </row>
    <row r="188" spans="1:23" ht="41.4" customHeight="1" x14ac:dyDescent="0.25">
      <c r="A188" s="2" t="s">
        <v>84</v>
      </c>
      <c r="B188" s="3" t="s">
        <v>322</v>
      </c>
      <c r="C188" s="2" t="str">
        <f>INDEX(รายการสาร!$B:$B,MATCH($B188,รายการสาร!$A:$A,0))</f>
        <v>Quattrocare Plus Spray</v>
      </c>
      <c r="D188" s="2" t="str">
        <f>INDEX(รายการสาร!$C:$C,MATCH($B188,รายการสาร!$A:$A,0))</f>
        <v>Kavo Quattrocare Plus Spray</v>
      </c>
      <c r="E188" s="2" t="s">
        <v>323</v>
      </c>
      <c r="F188" s="2" t="s">
        <v>300</v>
      </c>
      <c r="G188" s="3"/>
      <c r="H188" s="3" t="s">
        <v>23</v>
      </c>
      <c r="I188" s="3"/>
      <c r="J188" s="3"/>
      <c r="K188" s="3"/>
      <c r="L188" s="3"/>
      <c r="M188" s="3"/>
      <c r="N188" s="3"/>
      <c r="O188" s="3"/>
      <c r="P188" s="3"/>
      <c r="Q188" s="3" t="s">
        <v>23</v>
      </c>
      <c r="R188" s="3"/>
      <c r="S188" s="3" t="s">
        <v>23</v>
      </c>
      <c r="T188" s="3"/>
      <c r="U188" s="3"/>
      <c r="V188" s="3"/>
      <c r="W188" s="3" t="s">
        <v>23</v>
      </c>
    </row>
    <row r="189" spans="1:23" ht="27.6" customHeight="1" x14ac:dyDescent="0.25">
      <c r="A189" s="2" t="s">
        <v>84</v>
      </c>
      <c r="B189" s="3" t="s">
        <v>324</v>
      </c>
      <c r="C189" s="2" t="str">
        <f>INDEX(รายการสาร!$B:$B,MATCH($B189,รายการสาร!$A:$A,0))</f>
        <v>KAVO Spray 2112</v>
      </c>
      <c r="D189" s="2" t="str">
        <f>INDEX(รายการสาร!$C:$C,MATCH($B189,รายการสาร!$A:$A,0))</f>
        <v>KAVO Spray 2112</v>
      </c>
      <c r="E189" s="2" t="s">
        <v>323</v>
      </c>
      <c r="F189" s="2" t="s">
        <v>300</v>
      </c>
      <c r="G189" s="3"/>
      <c r="H189" s="3" t="s">
        <v>23</v>
      </c>
      <c r="I189" s="3"/>
      <c r="J189" s="3"/>
      <c r="K189" s="3"/>
      <c r="L189" s="3"/>
      <c r="M189" s="3"/>
      <c r="N189" s="3"/>
      <c r="O189" s="3"/>
      <c r="P189" s="3"/>
      <c r="Q189" s="3" t="s">
        <v>23</v>
      </c>
      <c r="R189" s="3"/>
      <c r="S189" s="3" t="s">
        <v>23</v>
      </c>
      <c r="T189" s="3"/>
      <c r="U189" s="3"/>
      <c r="V189" s="3"/>
      <c r="W189" s="3" t="s">
        <v>23</v>
      </c>
    </row>
    <row r="190" spans="1:23" x14ac:dyDescent="0.25">
      <c r="A190" s="2" t="s">
        <v>84</v>
      </c>
      <c r="B190" s="3" t="s">
        <v>32</v>
      </c>
      <c r="C190" s="2" t="str">
        <f>INDEX(รายการสาร!$B:$B,MATCH($B190,รายการสาร!$A:$A,0))</f>
        <v>Gel ล้างมือติดผนัง</v>
      </c>
      <c r="D190" s="2" t="str">
        <f>INDEX(รายการสาร!$C:$C,MATCH($B190,รายการสาร!$A:$A,0))</f>
        <v>Purell</v>
      </c>
      <c r="E190" s="2" t="s">
        <v>128</v>
      </c>
      <c r="F190" s="2" t="s">
        <v>129</v>
      </c>
      <c r="G190" s="3"/>
      <c r="H190" s="3" t="s">
        <v>23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 t="s">
        <v>23</v>
      </c>
    </row>
    <row r="191" spans="1:23" x14ac:dyDescent="0.25">
      <c r="A191" s="2" t="s">
        <v>84</v>
      </c>
      <c r="B191" s="3" t="s">
        <v>20</v>
      </c>
      <c r="C191" s="2" t="str">
        <f>INDEX(รายการสาร!$B:$B,MATCH($B191,รายการสาร!$A:$A,0))</f>
        <v>คิมแคร์สบู่เหลวล้างมือ</v>
      </c>
      <c r="D191" s="2" t="str">
        <f>INDEX(รายการสาร!$C:$C,MATCH($B191,รายการสาร!$A:$A,0))</f>
        <v>Kimcare</v>
      </c>
      <c r="E191" s="2" t="s">
        <v>111</v>
      </c>
      <c r="F191" s="2" t="s">
        <v>112</v>
      </c>
      <c r="G191" s="3"/>
      <c r="H191" s="3"/>
      <c r="I191" s="3"/>
      <c r="J191" s="3"/>
      <c r="K191" s="3"/>
      <c r="L191" s="3"/>
      <c r="M191" s="3"/>
      <c r="N191" s="3"/>
      <c r="O191" s="3" t="s">
        <v>23</v>
      </c>
      <c r="P191" s="3"/>
      <c r="Q191" s="3"/>
      <c r="R191" s="3"/>
      <c r="S191" s="3"/>
      <c r="T191" s="3"/>
      <c r="U191" s="3"/>
      <c r="V191" s="3"/>
      <c r="W191" s="3"/>
    </row>
    <row r="192" spans="1:23" ht="27.6" customHeight="1" x14ac:dyDescent="0.25">
      <c r="A192" s="2" t="s">
        <v>325</v>
      </c>
      <c r="B192" s="3" t="s">
        <v>326</v>
      </c>
      <c r="C192" s="2" t="str">
        <f>INDEX(รายการสาร!$B:$B,MATCH($B192,รายการสาร!$A:$A,0))</f>
        <v>Contact Cleaner (Wessbond)</v>
      </c>
      <c r="D192" s="2" t="str">
        <f>INDEX(รายการสาร!$C:$C,MATCH($B192,รายการสาร!$A:$A,0))</f>
        <v>ทำความสะอาดบอร์ด 454 กรัม</v>
      </c>
      <c r="E192" s="2" t="s">
        <v>327</v>
      </c>
      <c r="F192" s="2" t="s">
        <v>328</v>
      </c>
      <c r="G192" s="3"/>
      <c r="H192" s="3" t="s">
        <v>23</v>
      </c>
      <c r="I192" s="3"/>
      <c r="J192" s="3"/>
      <c r="K192" s="3"/>
      <c r="L192" s="3"/>
      <c r="M192" s="3"/>
      <c r="N192" s="3"/>
      <c r="O192" s="3"/>
      <c r="P192" s="3"/>
      <c r="Q192" s="3" t="s">
        <v>23</v>
      </c>
      <c r="R192" s="3"/>
      <c r="S192" s="3"/>
      <c r="T192" s="3"/>
      <c r="U192" s="3"/>
      <c r="V192" s="3"/>
      <c r="W192" s="3" t="s">
        <v>23</v>
      </c>
    </row>
    <row r="193" spans="1:23" ht="27.6" customHeight="1" x14ac:dyDescent="0.25">
      <c r="A193" s="2" t="s">
        <v>325</v>
      </c>
      <c r="B193" s="3" t="s">
        <v>329</v>
      </c>
      <c r="C193" s="2" t="str">
        <f>INDEX(รายการสาร!$B:$B,MATCH($B193,รายการสาร!$A:$A,0))</f>
        <v>Stride Floral DC Cavicide</v>
      </c>
      <c r="D193" s="2" t="str">
        <f>INDEX(รายการสาร!$C:$C,MATCH($B193,รายการสาร!$A:$A,0))</f>
        <v>ทำความสะอาด 1 gallon 3.755L</v>
      </c>
      <c r="E193" s="2" t="s">
        <v>330</v>
      </c>
      <c r="F193" s="2" t="s">
        <v>328</v>
      </c>
      <c r="G193" s="3"/>
      <c r="H193" s="3"/>
      <c r="I193" s="3"/>
      <c r="J193" s="3"/>
      <c r="K193" s="3"/>
      <c r="L193" s="3"/>
      <c r="M193" s="3"/>
      <c r="N193" s="3"/>
      <c r="O193" s="3" t="s">
        <v>23</v>
      </c>
      <c r="P193" s="3"/>
      <c r="Q193" s="3" t="s">
        <v>23</v>
      </c>
      <c r="R193" s="3" t="s">
        <v>23</v>
      </c>
      <c r="S193" s="3" t="s">
        <v>23</v>
      </c>
      <c r="T193" s="3"/>
      <c r="U193" s="3"/>
      <c r="V193" s="3" t="s">
        <v>23</v>
      </c>
      <c r="W193" s="3"/>
    </row>
    <row r="194" spans="1:23" ht="27.6" customHeight="1" x14ac:dyDescent="0.25">
      <c r="A194" s="2" t="s">
        <v>325</v>
      </c>
      <c r="B194" s="3" t="s">
        <v>331</v>
      </c>
      <c r="C194" s="2" t="str">
        <f>INDEX(รายการสาร!$B:$B,MATCH($B194,รายการสาร!$A:$A,0))</f>
        <v>Hydroforce</v>
      </c>
      <c r="D194" s="2" t="str">
        <f>INDEX(รายการสาร!$C:$C,MATCH($B194,รายการสาร!$A:$A,0))</f>
        <v>ทำความสะอาดเครื่อง 510 กรัม</v>
      </c>
      <c r="E194" s="2" t="s">
        <v>332</v>
      </c>
      <c r="F194" s="2" t="s">
        <v>328</v>
      </c>
      <c r="G194" s="3"/>
      <c r="H194" s="3" t="s">
        <v>23</v>
      </c>
      <c r="I194" s="3"/>
      <c r="J194" s="3"/>
      <c r="K194" s="3"/>
      <c r="L194" s="3"/>
      <c r="M194" s="3"/>
      <c r="N194" s="3"/>
      <c r="O194" s="3"/>
      <c r="P194" s="3"/>
      <c r="Q194" s="3" t="s">
        <v>23</v>
      </c>
      <c r="R194" s="3" t="s">
        <v>23</v>
      </c>
      <c r="S194" s="3" t="s">
        <v>23</v>
      </c>
      <c r="T194" s="3"/>
      <c r="U194" s="3"/>
      <c r="V194" s="3"/>
      <c r="W194" s="3" t="s">
        <v>23</v>
      </c>
    </row>
    <row r="195" spans="1:23" ht="27.6" customHeight="1" x14ac:dyDescent="0.25">
      <c r="A195" s="2" t="s">
        <v>325</v>
      </c>
      <c r="B195" s="3" t="s">
        <v>333</v>
      </c>
      <c r="C195" s="2" t="str">
        <f>INDEX(รายการสาร!$B:$B,MATCH($B195,รายการสาร!$A:$A,0))</f>
        <v>LPS preslove</v>
      </c>
      <c r="D195" s="2" t="str">
        <f>INDEX(รายการสาร!$C:$C,MATCH($B195,รายการสาร!$A:$A,0))</f>
        <v>ทำความสะอาดสายกาว 534 ml</v>
      </c>
      <c r="E195" s="2" t="s">
        <v>334</v>
      </c>
      <c r="F195" s="2" t="s">
        <v>328</v>
      </c>
      <c r="G195" s="3"/>
      <c r="H195" s="3"/>
      <c r="I195" s="3"/>
      <c r="J195" s="3"/>
      <c r="K195" s="3"/>
      <c r="L195" s="3"/>
      <c r="M195" s="3"/>
      <c r="N195" s="3"/>
      <c r="O195" s="3" t="s">
        <v>23</v>
      </c>
      <c r="P195" s="3"/>
      <c r="Q195" s="3" t="s">
        <v>23</v>
      </c>
      <c r="R195" s="3" t="s">
        <v>23</v>
      </c>
      <c r="S195" s="3" t="s">
        <v>23</v>
      </c>
      <c r="T195" s="3"/>
      <c r="U195" s="3"/>
      <c r="V195" s="3"/>
      <c r="W195" s="3"/>
    </row>
    <row r="196" spans="1:23" ht="41.4" customHeight="1" x14ac:dyDescent="0.25">
      <c r="A196" s="2" t="s">
        <v>325</v>
      </c>
      <c r="B196" s="3" t="s">
        <v>335</v>
      </c>
      <c r="C196" s="2" t="str">
        <f>INDEX(รายการสาร!$B:$B,MATCH($B196,รายการสาร!$A:$A,0))</f>
        <v>WD40</v>
      </c>
      <c r="D196" s="2" t="str">
        <f>INDEX(รายการสาร!$C:$C,MATCH($B196,รายการสาร!$A:$A,0))</f>
        <v>น้ำมันอเนกประสงค์ 400 ml</v>
      </c>
      <c r="E196" s="2" t="s">
        <v>336</v>
      </c>
      <c r="F196" s="2" t="s">
        <v>328</v>
      </c>
      <c r="G196" s="3"/>
      <c r="H196" s="3" t="s">
        <v>23</v>
      </c>
      <c r="I196" s="3"/>
      <c r="J196" s="3"/>
      <c r="K196" s="3"/>
      <c r="L196" s="3"/>
      <c r="M196" s="3"/>
      <c r="N196" s="3" t="s">
        <v>23</v>
      </c>
      <c r="O196" s="3" t="s">
        <v>23</v>
      </c>
      <c r="P196" s="3"/>
      <c r="Q196" s="3" t="s">
        <v>23</v>
      </c>
      <c r="R196" s="3" t="s">
        <v>23</v>
      </c>
      <c r="S196" s="3" t="s">
        <v>23</v>
      </c>
      <c r="T196" s="3"/>
      <c r="U196" s="3"/>
      <c r="V196" s="3"/>
      <c r="W196" s="3" t="s">
        <v>23</v>
      </c>
    </row>
    <row r="197" spans="1:23" x14ac:dyDescent="0.25">
      <c r="A197" s="2" t="s">
        <v>325</v>
      </c>
      <c r="B197" s="3" t="s">
        <v>337</v>
      </c>
      <c r="C197" s="2" t="str">
        <f>INDEX(รายการสาร!$B:$B,MATCH($B197,รายการสาร!$A:$A,0))</f>
        <v>LI-PLEX GREASE</v>
      </c>
      <c r="D197" s="2" t="str">
        <f>INDEX(รายการสาร!$C:$C,MATCH($B197,รายการสาร!$A:$A,0))</f>
        <v>จาระบี 0.5 kg.</v>
      </c>
      <c r="E197" s="2" t="s">
        <v>338</v>
      </c>
      <c r="F197" s="2" t="s">
        <v>328</v>
      </c>
      <c r="G197" s="3"/>
      <c r="H197" s="3" t="s">
        <v>23</v>
      </c>
      <c r="I197" s="3"/>
      <c r="J197" s="3"/>
      <c r="K197" s="3"/>
      <c r="L197" s="3"/>
      <c r="M197" s="3"/>
      <c r="N197" s="3"/>
      <c r="O197" s="3"/>
      <c r="P197" s="3"/>
      <c r="Q197" s="3" t="s">
        <v>23</v>
      </c>
      <c r="R197" s="3" t="s">
        <v>23</v>
      </c>
      <c r="S197" s="3" t="s">
        <v>23</v>
      </c>
      <c r="T197" s="3"/>
      <c r="U197" s="3"/>
      <c r="V197" s="3"/>
      <c r="W197" s="3" t="s">
        <v>23</v>
      </c>
    </row>
    <row r="198" spans="1:23" x14ac:dyDescent="0.25">
      <c r="A198" s="2" t="s">
        <v>325</v>
      </c>
      <c r="B198" s="3" t="s">
        <v>339</v>
      </c>
      <c r="C198" s="2" t="str">
        <f>INDEX(รายการสาร!$B:$B,MATCH($B198,รายการสาร!$A:$A,0))</f>
        <v>Helium</v>
      </c>
      <c r="D198" s="2" t="str">
        <f>INDEX(รายการสาร!$C:$C,MATCH($B198,รายการสาร!$A:$A,0))</f>
        <v>Helium</v>
      </c>
      <c r="E198" s="2" t="s">
        <v>340</v>
      </c>
      <c r="F198" s="2" t="s">
        <v>328</v>
      </c>
      <c r="G198" s="3"/>
      <c r="H198" s="3"/>
      <c r="I198" s="3"/>
      <c r="J198" s="3"/>
      <c r="K198" s="3"/>
      <c r="L198" s="3" t="s">
        <v>23</v>
      </c>
      <c r="M198" s="3"/>
      <c r="N198" s="3"/>
      <c r="O198" s="3"/>
      <c r="P198" s="3"/>
      <c r="Q198" s="3" t="s">
        <v>23</v>
      </c>
      <c r="R198" s="3"/>
      <c r="S198" s="3" t="s">
        <v>23</v>
      </c>
      <c r="T198" s="3"/>
      <c r="U198" s="3"/>
      <c r="V198" s="3"/>
      <c r="W198" s="3"/>
    </row>
    <row r="199" spans="1:23" ht="27.6" customHeight="1" x14ac:dyDescent="0.25">
      <c r="A199" s="2" t="s">
        <v>325</v>
      </c>
      <c r="B199" s="3" t="s">
        <v>341</v>
      </c>
      <c r="C199" s="2" t="str">
        <f>INDEX(รายการสาร!$B:$B,MATCH($B199,รายการสาร!$A:$A,0))</f>
        <v>Chlorox (NaOCl 5%)</v>
      </c>
      <c r="D199" s="2" t="str">
        <f>INDEX(รายการสาร!$C:$C,MATCH($B199,รายการสาร!$A:$A,0))</f>
        <v>Chlorox (NaOCl 5%)</v>
      </c>
      <c r="E199" s="2" t="s">
        <v>342</v>
      </c>
      <c r="F199" s="2" t="s">
        <v>328</v>
      </c>
      <c r="G199" s="3"/>
      <c r="H199" s="3"/>
      <c r="I199" s="3"/>
      <c r="J199" s="3"/>
      <c r="K199" s="3" t="s">
        <v>23</v>
      </c>
      <c r="L199" s="3"/>
      <c r="M199" s="3"/>
      <c r="N199" s="3"/>
      <c r="O199" s="3"/>
      <c r="P199" s="3"/>
      <c r="Q199" s="3" t="s">
        <v>23</v>
      </c>
      <c r="R199" s="3" t="s">
        <v>23</v>
      </c>
      <c r="S199" s="3" t="s">
        <v>23</v>
      </c>
      <c r="T199" s="3"/>
      <c r="U199" s="3"/>
      <c r="V199" s="3"/>
      <c r="W199" s="3"/>
    </row>
    <row r="200" spans="1:23" x14ac:dyDescent="0.25">
      <c r="A200" s="2" t="s">
        <v>66</v>
      </c>
      <c r="B200" s="3" t="s">
        <v>63</v>
      </c>
      <c r="C200" s="2" t="str">
        <f>INDEX(รายการสาร!$B:$B,MATCH($B200,รายการสาร!$A:$A,0))</f>
        <v>CaviWipes</v>
      </c>
      <c r="D200" s="2" t="str">
        <f>INDEX(รายการสาร!$C:$C,MATCH($B200,รายการสาร!$A:$A,0))</f>
        <v>CaviWipes</v>
      </c>
      <c r="E200" s="2" t="s">
        <v>343</v>
      </c>
      <c r="F200" s="2" t="s">
        <v>103</v>
      </c>
      <c r="G200" s="3"/>
      <c r="H200" s="3"/>
      <c r="I200" s="3"/>
      <c r="J200" s="3"/>
      <c r="K200" s="3"/>
      <c r="L200" s="3"/>
      <c r="M200" s="3"/>
      <c r="N200" s="3"/>
      <c r="O200" s="3" t="s">
        <v>23</v>
      </c>
      <c r="P200" s="3"/>
      <c r="Q200" s="3"/>
      <c r="R200" s="3"/>
      <c r="S200" s="3"/>
      <c r="T200" s="3"/>
      <c r="U200" s="3"/>
      <c r="V200" s="3"/>
      <c r="W200" s="3"/>
    </row>
    <row r="201" spans="1:23" ht="41.4" customHeight="1" x14ac:dyDescent="0.25">
      <c r="A201" s="2" t="s">
        <v>66</v>
      </c>
      <c r="B201" s="3" t="s">
        <v>344</v>
      </c>
      <c r="C201" s="2" t="str">
        <f>INDEX(รายการสาร!$B:$B,MATCH($B201,รายการสาร!$A:$A,0))</f>
        <v>CAVILON DURABLE BARRIER 3M</v>
      </c>
      <c r="D201" s="2" t="str">
        <f>INDEX(รายการสาร!$C:$C,MATCH($B201,รายการสาร!$A:$A,0))</f>
        <v>CAVILON DURABLE BARRIER 3M</v>
      </c>
      <c r="E201" s="2" t="s">
        <v>345</v>
      </c>
      <c r="F201" s="2" t="s">
        <v>103</v>
      </c>
      <c r="G201" s="3"/>
      <c r="H201" s="3"/>
      <c r="I201" s="3"/>
      <c r="J201" s="3"/>
      <c r="K201" s="3"/>
      <c r="L201" s="3"/>
      <c r="M201" s="3"/>
      <c r="N201" s="3"/>
      <c r="O201" s="3" t="s">
        <v>23</v>
      </c>
      <c r="P201" s="3"/>
      <c r="Q201" s="3"/>
      <c r="R201" s="3"/>
      <c r="S201" s="3"/>
      <c r="T201" s="3"/>
      <c r="U201" s="3"/>
      <c r="V201" s="3"/>
      <c r="W201" s="3"/>
    </row>
    <row r="202" spans="1:23" ht="41.4" customHeight="1" x14ac:dyDescent="0.25">
      <c r="A202" s="2" t="s">
        <v>66</v>
      </c>
      <c r="B202" s="3" t="s">
        <v>346</v>
      </c>
      <c r="C202" s="2" t="str">
        <f>INDEX(รายการสาร!$B:$B,MATCH($B202,รายการสาร!$A:$A,0))</f>
        <v>CAVILON NO-RINSE SKIN CLEANSER</v>
      </c>
      <c r="D202" s="2" t="str">
        <f>INDEX(รายการสาร!$C:$C,MATCH($B202,รายการสาร!$A:$A,0))</f>
        <v>CAVILON NO-RINSE SKIN CLEANSER</v>
      </c>
      <c r="E202" s="2" t="s">
        <v>347</v>
      </c>
      <c r="F202" s="2" t="s">
        <v>103</v>
      </c>
      <c r="G202" s="3"/>
      <c r="H202" s="3"/>
      <c r="I202" s="3"/>
      <c r="J202" s="3"/>
      <c r="K202" s="3"/>
      <c r="L202" s="3"/>
      <c r="M202" s="3"/>
      <c r="N202" s="3"/>
      <c r="O202" s="3" t="s">
        <v>23</v>
      </c>
      <c r="P202" s="3"/>
      <c r="Q202" s="3"/>
      <c r="R202" s="3"/>
      <c r="S202" s="3"/>
      <c r="T202" s="3"/>
      <c r="U202" s="3"/>
      <c r="V202" s="3"/>
      <c r="W202" s="3"/>
    </row>
    <row r="203" spans="1:23" ht="41.4" customHeight="1" x14ac:dyDescent="0.25">
      <c r="A203" s="2" t="s">
        <v>66</v>
      </c>
      <c r="B203" s="3" t="s">
        <v>348</v>
      </c>
      <c r="C203" s="2" t="str">
        <f>INDEX(รายการสาร!$B:$B,MATCH($B203,รายการสาร!$A:$A,0))</f>
        <v>Cavilon No sting Barrier film spray</v>
      </c>
      <c r="D203" s="2" t="str">
        <f>INDEX(รายการสาร!$C:$C,MATCH($B203,รายการสาร!$A:$A,0))</f>
        <v>Cavilon No sting Barrier film spray</v>
      </c>
      <c r="E203" s="2" t="s">
        <v>347</v>
      </c>
      <c r="F203" s="2" t="s">
        <v>103</v>
      </c>
      <c r="G203" s="3"/>
      <c r="H203" s="3"/>
      <c r="I203" s="3"/>
      <c r="J203" s="3"/>
      <c r="K203" s="3"/>
      <c r="L203" s="3"/>
      <c r="M203" s="3"/>
      <c r="N203" s="3"/>
      <c r="O203" s="3" t="s">
        <v>23</v>
      </c>
      <c r="P203" s="3"/>
      <c r="Q203" s="3"/>
      <c r="R203" s="3"/>
      <c r="S203" s="3"/>
      <c r="T203" s="3"/>
      <c r="U203" s="3"/>
      <c r="V203" s="3"/>
      <c r="W203" s="3"/>
    </row>
    <row r="204" spans="1:23" ht="27.6" customHeight="1" x14ac:dyDescent="0.25">
      <c r="A204" s="2" t="s">
        <v>66</v>
      </c>
      <c r="B204" s="3" t="s">
        <v>67</v>
      </c>
      <c r="C204" s="2" t="str">
        <f>INDEX(รายการสาร!$B:$B,MATCH($B204,รายการสาร!$A:$A,0))</f>
        <v>น้ำยาเช็ดตัวคนไข้</v>
      </c>
      <c r="D204" s="2" t="str">
        <f>INDEX(รายการสาร!$C:$C,MATCH($B204,รายการสาร!$A:$A,0))</f>
        <v>Dermalux soft towel lotion</v>
      </c>
      <c r="E204" s="2" t="s">
        <v>349</v>
      </c>
      <c r="F204" s="2" t="s">
        <v>103</v>
      </c>
      <c r="G204" s="3"/>
      <c r="H204" s="3"/>
      <c r="I204" s="3"/>
      <c r="J204" s="3"/>
      <c r="K204" s="3"/>
      <c r="L204" s="3"/>
      <c r="M204" s="3"/>
      <c r="N204" s="3"/>
      <c r="O204" s="3" t="s">
        <v>23</v>
      </c>
      <c r="P204" s="3"/>
      <c r="Q204" s="3"/>
      <c r="R204" s="3"/>
      <c r="S204" s="3"/>
      <c r="T204" s="3"/>
      <c r="U204" s="3"/>
      <c r="V204" s="3"/>
      <c r="W204" s="3"/>
    </row>
    <row r="205" spans="1:23" ht="27.6" customHeight="1" x14ac:dyDescent="0.25">
      <c r="A205" s="2" t="s">
        <v>66</v>
      </c>
      <c r="B205" s="3" t="s">
        <v>67</v>
      </c>
      <c r="C205" s="2" t="str">
        <f>INDEX(รายการสาร!$B:$B,MATCH($B205,รายการสาร!$A:$A,0))</f>
        <v>น้ำยาเช็ดตัวคนไข้</v>
      </c>
      <c r="D205" s="2" t="str">
        <f>INDEX(รายการสาร!$C:$C,MATCH($B205,รายการสาร!$A:$A,0))</f>
        <v>Dermalux soft towel lotion</v>
      </c>
      <c r="E205" s="2" t="s">
        <v>349</v>
      </c>
      <c r="F205" s="2" t="s">
        <v>350</v>
      </c>
      <c r="G205" s="3"/>
      <c r="H205" s="3"/>
      <c r="I205" s="3"/>
      <c r="J205" s="3"/>
      <c r="K205" s="3"/>
      <c r="L205" s="3"/>
      <c r="M205" s="3"/>
      <c r="N205" s="3"/>
      <c r="O205" s="3" t="s">
        <v>23</v>
      </c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2" t="s">
        <v>90</v>
      </c>
      <c r="B206" s="3" t="s">
        <v>35</v>
      </c>
      <c r="C206" s="2" t="str">
        <f>INDEX(รายการสาร!$B:$B,MATCH($B206,รายการสาร!$A:$A,0))</f>
        <v>Alcohol Gel</v>
      </c>
      <c r="D206" s="2" t="str">
        <f>INDEX(รายการสาร!$C:$C,MATCH($B206,รายการสาร!$A:$A,0))</f>
        <v>Clear Hand Gel</v>
      </c>
      <c r="E206" s="2" t="s">
        <v>351</v>
      </c>
      <c r="F206" s="2" t="s">
        <v>103</v>
      </c>
      <c r="G206" s="3"/>
      <c r="H206" s="3" t="s">
        <v>23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 t="s">
        <v>23</v>
      </c>
    </row>
    <row r="207" spans="1:23" ht="27.6" customHeight="1" x14ac:dyDescent="0.25">
      <c r="A207" s="2" t="s">
        <v>90</v>
      </c>
      <c r="B207" s="3" t="s">
        <v>60</v>
      </c>
      <c r="C207" s="2" t="str">
        <f>INDEX(รายการสาร!$B:$B,MATCH($B207,รายการสาร!$A:$A,0))</f>
        <v>GER-MA-WAY Disinfectant</v>
      </c>
      <c r="D207" s="2" t="str">
        <f>INDEX(รายการสาร!$C:$C,MATCH($B207,รายการสาร!$A:$A,0))</f>
        <v>GER-MA-WAY Disinfectant</v>
      </c>
      <c r="E207" s="2" t="s">
        <v>165</v>
      </c>
      <c r="F207" s="2" t="s">
        <v>103</v>
      </c>
      <c r="G207" s="3"/>
      <c r="H207" s="3" t="s">
        <v>23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 t="s">
        <v>23</v>
      </c>
    </row>
    <row r="208" spans="1:23" x14ac:dyDescent="0.25">
      <c r="A208" s="2" t="s">
        <v>90</v>
      </c>
      <c r="B208" s="3" t="s">
        <v>85</v>
      </c>
      <c r="C208" s="2" t="str">
        <f>INDEX(รายการสาร!$B:$B,MATCH($B208,รายการสาร!$A:$A,0))</f>
        <v>Oxygen</v>
      </c>
      <c r="D208" s="2" t="str">
        <f>INDEX(รายการสาร!$C:$C,MATCH($B208,รายการสาร!$A:$A,0))</f>
        <v>Oxygen</v>
      </c>
      <c r="E208" s="2" t="s">
        <v>352</v>
      </c>
      <c r="F208" s="2" t="s">
        <v>353</v>
      </c>
      <c r="G208" s="3" t="s">
        <v>23</v>
      </c>
      <c r="H208" s="3"/>
      <c r="I208" s="3"/>
      <c r="J208" s="3"/>
      <c r="K208" s="3"/>
      <c r="L208" s="3" t="s">
        <v>23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2" t="s">
        <v>72</v>
      </c>
      <c r="B209" s="3" t="s">
        <v>354</v>
      </c>
      <c r="C209" s="2" t="str">
        <f>INDEX(รายการสาร!$B:$B,MATCH($B209,รายการสาร!$A:$A,0))</f>
        <v>Methyl Alcohol Anhydrous</v>
      </c>
      <c r="D209" s="2" t="str">
        <f>INDEX(รายการสาร!$C:$C,MATCH($B209,รายการสาร!$A:$A,0))</f>
        <v>Methanol</v>
      </c>
      <c r="E209" s="2" t="s">
        <v>355</v>
      </c>
      <c r="F209" s="2" t="s">
        <v>356</v>
      </c>
      <c r="G209" s="3"/>
      <c r="H209" s="3" t="s">
        <v>23</v>
      </c>
      <c r="I209" s="3"/>
      <c r="J209" s="3" t="s">
        <v>23</v>
      </c>
      <c r="K209" s="3"/>
      <c r="L209" s="3"/>
      <c r="M209" s="3" t="s">
        <v>23</v>
      </c>
      <c r="N209" s="3"/>
      <c r="O209" s="3"/>
      <c r="P209" s="3"/>
      <c r="Q209" s="3" t="s">
        <v>23</v>
      </c>
      <c r="R209" s="3" t="s">
        <v>23</v>
      </c>
      <c r="S209" s="3" t="s">
        <v>23</v>
      </c>
      <c r="T209" s="3"/>
      <c r="U209" s="3"/>
      <c r="V209" s="3"/>
      <c r="W209" s="3" t="s">
        <v>23</v>
      </c>
    </row>
    <row r="210" spans="1:23" x14ac:dyDescent="0.25">
      <c r="A210" s="2" t="s">
        <v>72</v>
      </c>
      <c r="B210" s="3" t="s">
        <v>70</v>
      </c>
      <c r="C210" s="2" t="str">
        <f>INDEX(รายการสาร!$B:$B,MATCH($B210,รายการสาร!$A:$A,0))</f>
        <v>70% Alcohol</v>
      </c>
      <c r="D210" s="2" t="str">
        <f>INDEX(รายการสาร!$C:$C,MATCH($B210,รายการสาร!$A:$A,0))</f>
        <v>70% Alcohol</v>
      </c>
      <c r="E210" s="2" t="s">
        <v>357</v>
      </c>
      <c r="F210" s="2" t="s">
        <v>356</v>
      </c>
      <c r="G210" s="3"/>
      <c r="H210" s="3" t="s">
        <v>23</v>
      </c>
      <c r="I210" s="3"/>
      <c r="J210" s="3"/>
      <c r="K210" s="3"/>
      <c r="L210" s="3"/>
      <c r="M210" s="3"/>
      <c r="N210" s="3"/>
      <c r="O210" s="3"/>
      <c r="P210" s="3"/>
      <c r="Q210" s="3" t="s">
        <v>23</v>
      </c>
      <c r="R210" s="3"/>
      <c r="S210" s="3"/>
      <c r="T210" s="3"/>
      <c r="U210" s="3"/>
      <c r="V210" s="3"/>
      <c r="W210" s="3" t="s">
        <v>23</v>
      </c>
    </row>
    <row r="211" spans="1:23" ht="27.6" customHeight="1" x14ac:dyDescent="0.25">
      <c r="A211" s="2" t="s">
        <v>72</v>
      </c>
      <c r="B211" s="3" t="s">
        <v>358</v>
      </c>
      <c r="C211" s="2" t="str">
        <f>INDEX(รายการสาร!$B:$B,MATCH($B211,รายการสาร!$A:$A,0))</f>
        <v>Hydrex scrub (4 % Chlorhexidine) 500 ml</v>
      </c>
      <c r="D211" s="2" t="str">
        <f>INDEX(รายการสาร!$C:$C,MATCH($B211,รายการสาร!$A:$A,0))</f>
        <v>chlorhexidine gluconate</v>
      </c>
      <c r="E211" s="2" t="s">
        <v>359</v>
      </c>
      <c r="F211" s="2" t="s">
        <v>356</v>
      </c>
      <c r="G211" s="3"/>
      <c r="H211" s="3" t="s">
        <v>23</v>
      </c>
      <c r="I211" s="3"/>
      <c r="J211" s="3"/>
      <c r="K211" s="3"/>
      <c r="L211" s="3"/>
      <c r="M211" s="3" t="s">
        <v>23</v>
      </c>
      <c r="N211" s="3" t="s">
        <v>23</v>
      </c>
      <c r="O211" s="3"/>
      <c r="P211" s="3"/>
      <c r="Q211" s="3" t="s">
        <v>23</v>
      </c>
      <c r="R211" s="3" t="s">
        <v>23</v>
      </c>
      <c r="S211" s="3" t="s">
        <v>23</v>
      </c>
      <c r="T211" s="3" t="s">
        <v>23</v>
      </c>
      <c r="U211" s="3"/>
      <c r="V211" s="3"/>
      <c r="W211" s="3" t="s">
        <v>23</v>
      </c>
    </row>
    <row r="212" spans="1:23" x14ac:dyDescent="0.25">
      <c r="A212" s="2" t="s">
        <v>72</v>
      </c>
      <c r="B212" s="3" t="s">
        <v>360</v>
      </c>
      <c r="C212" s="2" t="str">
        <f>INDEX(รายการสาร!$B:$B,MATCH($B212,รายการสาร!$A:$A,0))</f>
        <v>Eosin+methylene blue+methanol</v>
      </c>
      <c r="D212" s="2" t="str">
        <f>INDEX(รายการสาร!$C:$C,MATCH($B212,รายการสาร!$A:$A,0))</f>
        <v>Q Dip stain set</v>
      </c>
      <c r="E212" s="2" t="s">
        <v>361</v>
      </c>
      <c r="F212" s="2" t="s">
        <v>356</v>
      </c>
      <c r="G212" s="3"/>
      <c r="H212" s="3" t="s">
        <v>23</v>
      </c>
      <c r="I212" s="3"/>
      <c r="J212" s="3" t="s">
        <v>23</v>
      </c>
      <c r="K212" s="3"/>
      <c r="L212" s="3"/>
      <c r="M212" s="3" t="s">
        <v>23</v>
      </c>
      <c r="N212" s="3"/>
      <c r="O212" s="3" t="s">
        <v>23</v>
      </c>
      <c r="P212" s="3"/>
      <c r="Q212" s="3" t="s">
        <v>23</v>
      </c>
      <c r="R212" s="3"/>
      <c r="S212" s="3"/>
      <c r="T212" s="3"/>
      <c r="U212" s="3"/>
      <c r="V212" s="3"/>
      <c r="W212" s="3" t="s">
        <v>23</v>
      </c>
    </row>
    <row r="213" spans="1:23" x14ac:dyDescent="0.25">
      <c r="A213" s="2" t="s">
        <v>89</v>
      </c>
      <c r="B213" s="3" t="s">
        <v>30</v>
      </c>
      <c r="C213" s="2" t="str">
        <f>INDEX(รายการสาร!$B:$B,MATCH($B213,รายการสาร!$A:$A,0))</f>
        <v>Ammonia</v>
      </c>
      <c r="D213" s="2" t="str">
        <f>INDEX(รายการสาร!$C:$C,MATCH($B213,รายการสาร!$A:$A,0))</f>
        <v>Ammonia</v>
      </c>
      <c r="E213" s="2" t="s">
        <v>362</v>
      </c>
      <c r="F213" s="2" t="s">
        <v>353</v>
      </c>
      <c r="G213" s="3"/>
      <c r="H213" s="3"/>
      <c r="I213" s="3"/>
      <c r="J213" s="3" t="s">
        <v>23</v>
      </c>
      <c r="K213" s="3" t="s">
        <v>23</v>
      </c>
      <c r="L213" s="3"/>
      <c r="M213" s="3" t="s">
        <v>23</v>
      </c>
      <c r="N213" s="3"/>
      <c r="O213" s="3"/>
      <c r="P213" s="3"/>
      <c r="Q213" s="3" t="s">
        <v>23</v>
      </c>
      <c r="R213" s="3" t="s">
        <v>23</v>
      </c>
      <c r="S213" s="3"/>
      <c r="T213" s="3"/>
      <c r="U213" s="3"/>
      <c r="V213" s="3"/>
      <c r="W213" s="3"/>
    </row>
    <row r="214" spans="1:23" x14ac:dyDescent="0.25">
      <c r="A214" s="2" t="s">
        <v>89</v>
      </c>
      <c r="B214" s="3" t="s">
        <v>45</v>
      </c>
      <c r="C214" s="2" t="str">
        <f>INDEX(รายการสาร!$B:$B,MATCH($B214,รายการสาร!$A:$A,0))</f>
        <v>Alcohol Pad</v>
      </c>
      <c r="D214" s="2" t="str">
        <f>INDEX(รายการสาร!$C:$C,MATCH($B214,รายการสาร!$A:$A,0))</f>
        <v>Neoplast</v>
      </c>
      <c r="E214" s="2" t="s">
        <v>258</v>
      </c>
      <c r="F214" s="2" t="s">
        <v>353</v>
      </c>
      <c r="G214" s="3" t="s">
        <v>23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41.4" customHeight="1" x14ac:dyDescent="0.25">
      <c r="A215" s="2" t="s">
        <v>89</v>
      </c>
      <c r="B215" s="3" t="s">
        <v>113</v>
      </c>
      <c r="C215" s="2" t="str">
        <f>INDEX(รายการสาร!$B:$B,MATCH($B215,รายการสาร!$A:$A,0))</f>
        <v>น้ำยาล้างจาน</v>
      </c>
      <c r="D215" s="2" t="str">
        <f>INDEX(รายการสาร!$C:$C,MATCH($B215,รายการสาร!$A:$A,0))</f>
        <v>ไลปอนเอฟ หรือ มาวิน หรือ ซันไลต์</v>
      </c>
      <c r="E215" s="2" t="s">
        <v>111</v>
      </c>
      <c r="F215" s="2" t="s">
        <v>363</v>
      </c>
      <c r="G215" s="3"/>
      <c r="H215" s="3"/>
      <c r="I215" s="3"/>
      <c r="J215" s="3"/>
      <c r="K215" s="3"/>
      <c r="L215" s="3"/>
      <c r="M215" s="3"/>
      <c r="N215" s="3"/>
      <c r="O215" s="3" t="s">
        <v>23</v>
      </c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2" t="s">
        <v>89</v>
      </c>
      <c r="B216" s="3" t="s">
        <v>364</v>
      </c>
      <c r="C216" s="2" t="str">
        <f>INDEX(รายการสาร!$B:$B,MATCH($B216,รายการสาร!$A:$A,0))</f>
        <v>Formaldehyde</v>
      </c>
      <c r="D216" s="2" t="str">
        <f>INDEX(รายการสาร!$C:$C,MATCH($B216,รายการสาร!$A:$A,0))</f>
        <v>10 % Formalin</v>
      </c>
      <c r="E216" s="2" t="s">
        <v>128</v>
      </c>
      <c r="F216" s="2" t="s">
        <v>363</v>
      </c>
      <c r="G216" s="3"/>
      <c r="H216" s="3" t="s">
        <v>23</v>
      </c>
      <c r="I216" s="3"/>
      <c r="J216" s="3" t="s">
        <v>23</v>
      </c>
      <c r="K216" s="3"/>
      <c r="L216" s="3"/>
      <c r="M216" s="3" t="s">
        <v>23</v>
      </c>
      <c r="N216" s="3"/>
      <c r="O216" s="3"/>
      <c r="P216" s="3"/>
      <c r="Q216" s="3" t="s">
        <v>23</v>
      </c>
      <c r="R216" s="3" t="s">
        <v>23</v>
      </c>
      <c r="S216" s="3"/>
      <c r="T216" s="3"/>
      <c r="U216" s="3"/>
      <c r="V216" s="3"/>
      <c r="W216" s="3" t="s">
        <v>23</v>
      </c>
    </row>
    <row r="217" spans="1:23" ht="27.6" customHeight="1" x14ac:dyDescent="0.25">
      <c r="A217" s="2" t="s">
        <v>89</v>
      </c>
      <c r="B217" s="3" t="s">
        <v>180</v>
      </c>
      <c r="C217" s="2" t="str">
        <f>INDEX(รายการสาร!$B:$B,MATCH($B217,รายการสาร!$A:$A,0))</f>
        <v>Gel ล้างมือติดผนัง</v>
      </c>
      <c r="D217" s="2" t="str">
        <f>INDEX(รายการสาร!$C:$C,MATCH($B217,รายการสาร!$A:$A,0))</f>
        <v>Purell (Hand Sanitizer)</v>
      </c>
      <c r="E217" s="2" t="s">
        <v>128</v>
      </c>
      <c r="F217" s="2" t="s">
        <v>363</v>
      </c>
      <c r="G217" s="3"/>
      <c r="H217" s="3" t="s">
        <v>23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 t="s">
        <v>23</v>
      </c>
    </row>
    <row r="218" spans="1:23" x14ac:dyDescent="0.25">
      <c r="A218" s="2" t="s">
        <v>89</v>
      </c>
      <c r="B218" s="3" t="s">
        <v>20</v>
      </c>
      <c r="C218" s="2" t="str">
        <f>INDEX(รายการสาร!$B:$B,MATCH($B218,รายการสาร!$A:$A,0))</f>
        <v>คิมแคร์สบู่เหลวล้างมือ</v>
      </c>
      <c r="D218" s="2" t="str">
        <f>INDEX(รายการสาร!$C:$C,MATCH($B218,รายการสาร!$A:$A,0))</f>
        <v>Kimcare</v>
      </c>
      <c r="E218" s="2" t="s">
        <v>171</v>
      </c>
      <c r="F218" s="2" t="s">
        <v>363</v>
      </c>
      <c r="G218" s="3"/>
      <c r="H218" s="3"/>
      <c r="I218" s="3"/>
      <c r="J218" s="3"/>
      <c r="K218" s="3"/>
      <c r="L218" s="3"/>
      <c r="M218" s="3"/>
      <c r="N218" s="3"/>
      <c r="O218" s="3" t="s">
        <v>23</v>
      </c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2" t="s">
        <v>89</v>
      </c>
      <c r="B219" s="3" t="s">
        <v>57</v>
      </c>
      <c r="C219" s="2" t="str">
        <f>INDEX(รายการสาร!$B:$B,MATCH($B219,รายการสาร!$A:$A,0))</f>
        <v>Q-bac4 soap liquid</v>
      </c>
      <c r="D219" s="2" t="str">
        <f>INDEX(รายการสาร!$C:$C,MATCH($B219,รายการสาร!$A:$A,0))</f>
        <v>Q-bac4</v>
      </c>
      <c r="E219" s="2" t="s">
        <v>128</v>
      </c>
      <c r="F219" s="2" t="s">
        <v>117</v>
      </c>
      <c r="G219" s="3"/>
      <c r="H219" s="3" t="s">
        <v>23</v>
      </c>
      <c r="I219" s="3"/>
      <c r="J219" s="3"/>
      <c r="K219" s="3"/>
      <c r="L219" s="3"/>
      <c r="M219" s="3" t="s">
        <v>23</v>
      </c>
      <c r="N219" s="3"/>
      <c r="O219" s="3"/>
      <c r="P219" s="3"/>
      <c r="Q219" s="3" t="s">
        <v>23</v>
      </c>
      <c r="R219" s="3"/>
      <c r="S219" s="3"/>
      <c r="T219" s="3"/>
      <c r="U219" s="3"/>
      <c r="V219" s="3"/>
      <c r="W219" s="3" t="s">
        <v>23</v>
      </c>
    </row>
    <row r="220" spans="1:23" ht="27.6" customHeight="1" x14ac:dyDescent="0.25">
      <c r="A220" s="2" t="s">
        <v>89</v>
      </c>
      <c r="B220" s="3" t="s">
        <v>60</v>
      </c>
      <c r="C220" s="2" t="str">
        <f>INDEX(รายการสาร!$B:$B,MATCH($B220,รายการสาร!$A:$A,0))</f>
        <v>GER-MA-WAY Disinfectant</v>
      </c>
      <c r="D220" s="2" t="str">
        <f>INDEX(รายการสาร!$C:$C,MATCH($B220,รายการสาร!$A:$A,0))</f>
        <v>GER-MA-WAY Disinfectant</v>
      </c>
      <c r="E220" s="2" t="s">
        <v>365</v>
      </c>
      <c r="F220" s="2" t="s">
        <v>122</v>
      </c>
      <c r="G220" s="3"/>
      <c r="H220" s="3"/>
      <c r="I220" s="3"/>
      <c r="J220" s="3"/>
      <c r="K220" s="3"/>
      <c r="L220" s="3"/>
      <c r="M220" s="3"/>
      <c r="N220" s="3"/>
      <c r="O220" s="3" t="s">
        <v>23</v>
      </c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2" t="s">
        <v>89</v>
      </c>
      <c r="B221" s="3" t="s">
        <v>35</v>
      </c>
      <c r="C221" s="2" t="str">
        <f>INDEX(รายการสาร!$B:$B,MATCH($B221,รายการสาร!$A:$A,0))</f>
        <v>Alcohol Gel</v>
      </c>
      <c r="D221" s="2" t="str">
        <f>INDEX(รายการสาร!$C:$C,MATCH($B221,รายการสาร!$A:$A,0))</f>
        <v>Clear Hand Gel</v>
      </c>
      <c r="E221" s="2" t="s">
        <v>255</v>
      </c>
      <c r="F221" s="2" t="s">
        <v>122</v>
      </c>
      <c r="G221" s="3"/>
      <c r="H221" s="3" t="s">
        <v>23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 t="s">
        <v>23</v>
      </c>
    </row>
    <row r="222" spans="1:23" ht="27.6" customHeight="1" x14ac:dyDescent="0.25">
      <c r="A222" s="2" t="s">
        <v>89</v>
      </c>
      <c r="B222" s="3" t="s">
        <v>366</v>
      </c>
      <c r="C222" s="2" t="str">
        <f>INDEX(รายการสาร!$B:$B,MATCH($B222,รายการสาร!$A:$A,0))</f>
        <v>Cidex OPA solution</v>
      </c>
      <c r="D222" s="2" t="str">
        <f>INDEX(รายการสาร!$C:$C,MATCH($B222,รายการสาร!$A:$A,0))</f>
        <v>ortho-phthalaldehyde</v>
      </c>
      <c r="E222" s="2" t="s">
        <v>367</v>
      </c>
      <c r="F222" s="2" t="s">
        <v>368</v>
      </c>
      <c r="G222" s="3"/>
      <c r="H222" s="3"/>
      <c r="I222" s="3"/>
      <c r="J222" s="3"/>
      <c r="K222" s="3"/>
      <c r="L222" s="3"/>
      <c r="M222" s="3" t="s">
        <v>23</v>
      </c>
      <c r="N222" s="3"/>
      <c r="O222" s="3"/>
      <c r="P222" s="3"/>
      <c r="Q222" s="3" t="s">
        <v>23</v>
      </c>
      <c r="R222" s="3" t="s">
        <v>23</v>
      </c>
      <c r="S222" s="3" t="s">
        <v>23</v>
      </c>
      <c r="T222" s="3"/>
      <c r="U222" s="3"/>
      <c r="V222" s="3" t="s">
        <v>23</v>
      </c>
      <c r="W222" s="3"/>
    </row>
    <row r="223" spans="1:23" x14ac:dyDescent="0.25">
      <c r="A223" s="2" t="s">
        <v>89</v>
      </c>
      <c r="B223" s="3" t="s">
        <v>369</v>
      </c>
      <c r="C223" s="2" t="str">
        <f>INDEX(รายการสาร!$B:$B,MATCH($B223,รายการสาร!$A:$A,0))</f>
        <v>ALCOHOL 70% (1,000 ml).</v>
      </c>
      <c r="D223" s="2" t="str">
        <f>INDEX(รายการสาร!$C:$C,MATCH($B223,รายการสาร!$A:$A,0))</f>
        <v>Ethyl alcohol</v>
      </c>
      <c r="E223" s="2" t="s">
        <v>370</v>
      </c>
      <c r="F223" s="2" t="s">
        <v>122</v>
      </c>
      <c r="G223" s="3"/>
      <c r="H223" s="3" t="s">
        <v>23</v>
      </c>
      <c r="I223" s="3"/>
      <c r="J223" s="3"/>
      <c r="K223" s="3"/>
      <c r="L223" s="3"/>
      <c r="M223" s="3"/>
      <c r="N223" s="3"/>
      <c r="O223" s="3" t="s">
        <v>23</v>
      </c>
      <c r="P223" s="3"/>
      <c r="Q223" s="3" t="s">
        <v>23</v>
      </c>
      <c r="R223" s="3" t="s">
        <v>23</v>
      </c>
      <c r="S223" s="3" t="s">
        <v>23</v>
      </c>
      <c r="T223" s="3" t="s">
        <v>23</v>
      </c>
      <c r="U223" s="3"/>
      <c r="V223" s="3"/>
      <c r="W223" s="3" t="s">
        <v>23</v>
      </c>
    </row>
    <row r="224" spans="1:23" x14ac:dyDescent="0.25">
      <c r="A224" s="2" t="s">
        <v>89</v>
      </c>
      <c r="B224" s="3" t="s">
        <v>85</v>
      </c>
      <c r="C224" s="2" t="str">
        <f>INDEX(รายการสาร!$B:$B,MATCH($B224,รายการสาร!$A:$A,0))</f>
        <v>Oxygen</v>
      </c>
      <c r="D224" s="2" t="str">
        <f>INDEX(รายการสาร!$C:$C,MATCH($B224,รายการสาร!$A:$A,0))</f>
        <v>Oxygen</v>
      </c>
      <c r="E224" s="2" t="s">
        <v>371</v>
      </c>
      <c r="F224" s="2" t="s">
        <v>353</v>
      </c>
      <c r="G224" s="3" t="s">
        <v>23</v>
      </c>
      <c r="H224" s="3"/>
      <c r="I224" s="3"/>
      <c r="J224" s="3"/>
      <c r="K224" s="3"/>
      <c r="L224" s="3" t="s">
        <v>23</v>
      </c>
      <c r="M224" s="3"/>
      <c r="N224" s="3"/>
      <c r="O224" s="3"/>
      <c r="P224" s="3"/>
      <c r="Q224" s="3" t="s">
        <v>23</v>
      </c>
      <c r="R224" s="3" t="s">
        <v>23</v>
      </c>
      <c r="S224" s="3"/>
      <c r="T224" s="3"/>
      <c r="U224" s="3"/>
      <c r="V224" s="3"/>
      <c r="W224" s="3"/>
    </row>
    <row r="225" spans="1:23" ht="27.6" customHeight="1" x14ac:dyDescent="0.25">
      <c r="A225" s="2" t="s">
        <v>89</v>
      </c>
      <c r="B225" s="3" t="s">
        <v>372</v>
      </c>
      <c r="C225" s="2" t="str">
        <f>INDEX(รายการสาร!$B:$B,MATCH($B225,รายการสาร!$A:$A,0))</f>
        <v>Concentrated Quadruple Enzyme Automatic Wash</v>
      </c>
      <c r="D225" s="2" t="str">
        <f>INDEX(รายการสาร!$C:$C,MATCH($B225,รายการสาร!$A:$A,0))</f>
        <v>ProEZ AW Quad</v>
      </c>
      <c r="E225" s="2" t="s">
        <v>373</v>
      </c>
      <c r="F225" s="2" t="s">
        <v>368</v>
      </c>
      <c r="G225" s="3"/>
      <c r="H225" s="3"/>
      <c r="I225" s="3"/>
      <c r="J225" s="3"/>
      <c r="K225" s="3"/>
      <c r="L225" s="3" t="s">
        <v>23</v>
      </c>
      <c r="M225" s="3"/>
      <c r="N225" s="3"/>
      <c r="O225" s="3" t="s">
        <v>23</v>
      </c>
      <c r="P225" s="3"/>
      <c r="Q225" s="3" t="s">
        <v>23</v>
      </c>
      <c r="R225" s="3" t="s">
        <v>23</v>
      </c>
      <c r="S225" s="3" t="s">
        <v>23</v>
      </c>
      <c r="T225" s="3" t="s">
        <v>23</v>
      </c>
      <c r="U225" s="3"/>
      <c r="V225" s="3"/>
      <c r="W225" s="3"/>
    </row>
    <row r="226" spans="1:23" x14ac:dyDescent="0.25">
      <c r="A226" s="2" t="s">
        <v>374</v>
      </c>
      <c r="B226" s="3" t="s">
        <v>375</v>
      </c>
      <c r="C226" s="2" t="str">
        <f>INDEX(รายการสาร!$B:$B,MATCH($B226,รายการสาร!$A:$A,0))</f>
        <v>Oxygen เหลว</v>
      </c>
      <c r="D226" s="2" t="str">
        <f>INDEX(รายการสาร!$C:$C,MATCH($B226,รายการสาร!$A:$A,0))</f>
        <v>Oxygen เหลว</v>
      </c>
      <c r="E226" s="2" t="s">
        <v>376</v>
      </c>
      <c r="F226" s="2" t="s">
        <v>377</v>
      </c>
      <c r="G226" s="3"/>
      <c r="H226" s="3"/>
      <c r="I226" s="3"/>
      <c r="J226" s="3"/>
      <c r="K226" s="3"/>
      <c r="L226" s="3" t="s">
        <v>23</v>
      </c>
      <c r="M226" s="3" t="s">
        <v>23</v>
      </c>
      <c r="N226" s="3"/>
      <c r="O226" s="3"/>
      <c r="P226" s="3"/>
      <c r="Q226" s="3" t="s">
        <v>23</v>
      </c>
      <c r="R226" s="3" t="s">
        <v>23</v>
      </c>
      <c r="S226" s="3"/>
      <c r="T226" s="3"/>
      <c r="U226" s="3"/>
      <c r="V226" s="3"/>
      <c r="W226" s="3"/>
    </row>
    <row r="227" spans="1:23" ht="27.6" customHeight="1" x14ac:dyDescent="0.25">
      <c r="A227" s="2" t="s">
        <v>374</v>
      </c>
      <c r="B227" s="3" t="s">
        <v>378</v>
      </c>
      <c r="C227" s="2" t="str">
        <f>INDEX(รายการสาร!$B:$B,MATCH($B227,รายการสาร!$A:$A,0))</f>
        <v>Oxygen ชนิดถังเหล็ก ขนาด 6 คิว</v>
      </c>
      <c r="D227" s="2" t="str">
        <f>INDEX(รายการสาร!$C:$C,MATCH($B227,รายการสาร!$A:$A,0))</f>
        <v>Oxygen ชนิดถังเหล็ก ขนาด 6 คิว</v>
      </c>
      <c r="E227" s="2" t="s">
        <v>379</v>
      </c>
      <c r="F227" s="2" t="s">
        <v>380</v>
      </c>
      <c r="G227" s="3"/>
      <c r="H227" s="3"/>
      <c r="I227" s="3"/>
      <c r="J227" s="3"/>
      <c r="K227" s="3"/>
      <c r="L227" s="3" t="s">
        <v>23</v>
      </c>
      <c r="M227" s="3" t="s">
        <v>23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7.6" customHeight="1" x14ac:dyDescent="0.25">
      <c r="A228" s="2" t="s">
        <v>374</v>
      </c>
      <c r="B228" s="3" t="s">
        <v>381</v>
      </c>
      <c r="C228" s="2" t="str">
        <f>INDEX(รายการสาร!$B:$B,MATCH($B228,รายการสาร!$A:$A,0))</f>
        <v>Nitrogen ชนิดถังเหล็ก ขนาด 6 คิว</v>
      </c>
      <c r="D228" s="2" t="str">
        <f>INDEX(รายการสาร!$C:$C,MATCH($B228,รายการสาร!$A:$A,0))</f>
        <v>Nitrogen ชนิดถังเหล็ก ขนาด 6 คิว</v>
      </c>
      <c r="E228" s="2" t="s">
        <v>379</v>
      </c>
      <c r="F228" s="2" t="s">
        <v>380</v>
      </c>
      <c r="G228" s="3"/>
      <c r="H228" s="3"/>
      <c r="I228" s="3"/>
      <c r="J228" s="3"/>
      <c r="K228" s="3"/>
      <c r="L228" s="3" t="s">
        <v>23</v>
      </c>
      <c r="M228" s="3" t="s">
        <v>23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41.4" customHeight="1" x14ac:dyDescent="0.25">
      <c r="A229" s="2" t="s">
        <v>374</v>
      </c>
      <c r="B229" s="3" t="s">
        <v>382</v>
      </c>
      <c r="C229" s="2" t="str">
        <f>INDEX(รายการสาร!$B:$B,MATCH($B229,รายการสาร!$A:$A,0))</f>
        <v>Acetylene ชนิดถังเหล็ก ขนาด 6 คิว</v>
      </c>
      <c r="D229" s="2" t="str">
        <f>INDEX(รายการสาร!$C:$C,MATCH($B229,รายการสาร!$A:$A,0))</f>
        <v>Acetylene ชนิดถังเหล็ก ขนาด 6 คิว</v>
      </c>
      <c r="E229" s="2" t="s">
        <v>383</v>
      </c>
      <c r="F229" s="2" t="s">
        <v>384</v>
      </c>
      <c r="G229" s="3"/>
      <c r="H229" s="3" t="s">
        <v>23</v>
      </c>
      <c r="I229" s="3" t="s">
        <v>23</v>
      </c>
      <c r="J229" s="3"/>
      <c r="K229" s="3"/>
      <c r="L229" s="3" t="s">
        <v>23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 t="s">
        <v>23</v>
      </c>
    </row>
    <row r="230" spans="1:23" ht="41.4" customHeight="1" x14ac:dyDescent="0.25">
      <c r="A230" s="2" t="s">
        <v>374</v>
      </c>
      <c r="B230" s="3" t="s">
        <v>385</v>
      </c>
      <c r="C230" s="2" t="str">
        <f>INDEX(รายการสาร!$B:$B,MATCH($B230,รายการสาร!$A:$A,0))</f>
        <v>ก๊าซหุงต้ม LPG ชนิดถังเหล็ก ขนาด 48 kg</v>
      </c>
      <c r="D230" s="2" t="str">
        <f>INDEX(รายการสาร!$C:$C,MATCH($B230,รายการสาร!$A:$A,0))</f>
        <v>ก๊าซหุงต้ม LPG ชนิดถังเหล็ก ขนาด 48 kg</v>
      </c>
      <c r="E230" s="2" t="s">
        <v>386</v>
      </c>
      <c r="F230" s="2" t="s">
        <v>387</v>
      </c>
      <c r="G230" s="3"/>
      <c r="H230" s="3" t="s">
        <v>23</v>
      </c>
      <c r="I230" s="3"/>
      <c r="J230" s="3"/>
      <c r="K230" s="3"/>
      <c r="L230" s="3" t="s">
        <v>23</v>
      </c>
      <c r="M230" s="3" t="s">
        <v>23</v>
      </c>
      <c r="N230" s="3" t="s">
        <v>23</v>
      </c>
      <c r="O230" s="3"/>
      <c r="P230" s="3"/>
      <c r="Q230" s="3"/>
      <c r="R230" s="3"/>
      <c r="S230" s="3"/>
      <c r="T230" s="3"/>
      <c r="U230" s="3"/>
      <c r="V230" s="3"/>
      <c r="W230" s="3" t="s">
        <v>23</v>
      </c>
    </row>
    <row r="231" spans="1:23" ht="41.4" customHeight="1" x14ac:dyDescent="0.25">
      <c r="A231" s="2" t="s">
        <v>374</v>
      </c>
      <c r="B231" s="3" t="s">
        <v>388</v>
      </c>
      <c r="C231" s="2" t="str">
        <f>INDEX(รายการสาร!$B:$B,MATCH($B231,รายการสาร!$A:$A,0))</f>
        <v>Argon ชนิดถังเหล็ก ขนาด 0.5 คิว</v>
      </c>
      <c r="D231" s="2" t="str">
        <f>INDEX(รายการสาร!$C:$C,MATCH($B231,รายการสาร!$A:$A,0))</f>
        <v>Argon ชนิดถังเหล็ก ขนาด 0.5 คิว</v>
      </c>
      <c r="E231" s="2" t="s">
        <v>383</v>
      </c>
      <c r="F231" s="2" t="s">
        <v>384</v>
      </c>
      <c r="G231" s="3"/>
      <c r="H231" s="3"/>
      <c r="I231" s="3"/>
      <c r="J231" s="3"/>
      <c r="K231" s="3"/>
      <c r="L231" s="3" t="s">
        <v>23</v>
      </c>
      <c r="M231" s="3" t="s">
        <v>23</v>
      </c>
      <c r="N231" s="3"/>
      <c r="O231" s="3"/>
      <c r="P231" s="3"/>
      <c r="Q231" s="3"/>
      <c r="R231" s="3" t="s">
        <v>23</v>
      </c>
      <c r="S231" s="3"/>
      <c r="T231" s="3"/>
      <c r="U231" s="3"/>
      <c r="V231" s="3"/>
      <c r="W231" s="3"/>
    </row>
    <row r="232" spans="1:23" ht="55.2" customHeight="1" x14ac:dyDescent="0.25">
      <c r="A232" s="2" t="s">
        <v>374</v>
      </c>
      <c r="B232" s="3" t="s">
        <v>389</v>
      </c>
      <c r="C232" s="2" t="str">
        <f>INDEX(รายการสาร!$B:$B,MATCH($B232,รายการสาร!$A:$A,0))</f>
        <v>สารตั้งต้นระบบคลอรีนไดออกไซด์ DG-Adob 01</v>
      </c>
      <c r="D232" s="2" t="str">
        <f>INDEX(รายการสาร!$C:$C,MATCH($B232,รายการสาร!$A:$A,0))</f>
        <v>DG Adop01 Sodium Chlorite 7.5% ขนาดถังละ 20 kg</v>
      </c>
      <c r="E232" s="2" t="s">
        <v>390</v>
      </c>
      <c r="F232" s="2" t="s">
        <v>391</v>
      </c>
      <c r="G232" s="3"/>
      <c r="H232" s="3"/>
      <c r="I232" s="3"/>
      <c r="J232" s="3" t="s">
        <v>23</v>
      </c>
      <c r="K232" s="3" t="s">
        <v>23</v>
      </c>
      <c r="L232" s="3"/>
      <c r="M232" s="3" t="s">
        <v>23</v>
      </c>
      <c r="N232" s="3"/>
      <c r="O232" s="3" t="s">
        <v>23</v>
      </c>
      <c r="P232" s="3"/>
      <c r="Q232" s="3" t="s">
        <v>23</v>
      </c>
      <c r="R232" s="3" t="s">
        <v>23</v>
      </c>
      <c r="S232" s="3" t="s">
        <v>23</v>
      </c>
      <c r="T232" s="3" t="s">
        <v>23</v>
      </c>
      <c r="U232" s="3"/>
      <c r="V232" s="3" t="s">
        <v>23</v>
      </c>
      <c r="W232" s="3"/>
    </row>
    <row r="233" spans="1:23" ht="55.2" customHeight="1" x14ac:dyDescent="0.25">
      <c r="A233" s="2" t="s">
        <v>374</v>
      </c>
      <c r="B233" s="3" t="s">
        <v>392</v>
      </c>
      <c r="C233" s="2" t="str">
        <f>INDEX(รายการสาร!$B:$B,MATCH($B233,รายการสาร!$A:$A,0))</f>
        <v>สารตั้งต้นระบบคลอรีนไดออกไซด์ DG-Adob 02</v>
      </c>
      <c r="D233" s="2" t="str">
        <f>INDEX(รายการสาร!$C:$C,MATCH($B233,รายการสาร!$A:$A,0))</f>
        <v>DG Adop02 Hydrochloric Acid 9-35% ขนาดถังละ 20 kg</v>
      </c>
      <c r="E233" s="2" t="s">
        <v>383</v>
      </c>
      <c r="F233" s="2" t="s">
        <v>391</v>
      </c>
      <c r="G233" s="3"/>
      <c r="H233" s="3"/>
      <c r="I233" s="3"/>
      <c r="J233" s="3"/>
      <c r="K233" s="3" t="s">
        <v>23</v>
      </c>
      <c r="L233" s="3"/>
      <c r="M233" s="3" t="s">
        <v>23</v>
      </c>
      <c r="N233" s="3"/>
      <c r="O233" s="3"/>
      <c r="P233" s="3"/>
      <c r="Q233" s="3" t="s">
        <v>23</v>
      </c>
      <c r="R233" s="3" t="s">
        <v>23</v>
      </c>
      <c r="S233" s="3" t="s">
        <v>23</v>
      </c>
      <c r="T233" s="3" t="s">
        <v>23</v>
      </c>
      <c r="U233" s="3"/>
      <c r="V233" s="3" t="s">
        <v>23</v>
      </c>
      <c r="W233" s="3"/>
    </row>
    <row r="234" spans="1:23" ht="27.6" customHeight="1" x14ac:dyDescent="0.25">
      <c r="A234" s="2" t="s">
        <v>374</v>
      </c>
      <c r="B234" s="3" t="s">
        <v>393</v>
      </c>
      <c r="C234" s="2" t="str">
        <f>INDEX(รายการสาร!$B:$B,MATCH($B234,รายการสาร!$A:$A,0))</f>
        <v>จุลินทรีย์สำหรับย่อยสลายไขมัน DG-105</v>
      </c>
      <c r="D234" s="2" t="str">
        <f>INDEX(รายการสาร!$C:$C,MATCH($B234,รายการสาร!$A:$A,0))</f>
        <v>DG-105 ขนาดถังละ 20 kg</v>
      </c>
      <c r="E234" s="2" t="s">
        <v>394</v>
      </c>
      <c r="F234" s="2" t="s">
        <v>391</v>
      </c>
      <c r="G234" s="3"/>
      <c r="H234" s="3"/>
      <c r="I234" s="3"/>
      <c r="J234" s="3"/>
      <c r="K234" s="3" t="s">
        <v>23</v>
      </c>
      <c r="L234" s="3"/>
      <c r="M234" s="3" t="s">
        <v>23</v>
      </c>
      <c r="N234" s="3"/>
      <c r="O234" s="3"/>
      <c r="P234" s="3"/>
      <c r="Q234" s="3" t="s">
        <v>23</v>
      </c>
      <c r="R234" s="3" t="s">
        <v>23</v>
      </c>
      <c r="S234" s="3" t="s">
        <v>23</v>
      </c>
      <c r="T234" s="3" t="s">
        <v>23</v>
      </c>
      <c r="U234" s="3"/>
      <c r="V234" s="3" t="s">
        <v>23</v>
      </c>
      <c r="W234" s="3"/>
    </row>
    <row r="235" spans="1:23" ht="27.6" customHeight="1" x14ac:dyDescent="0.25">
      <c r="A235" s="2" t="s">
        <v>374</v>
      </c>
      <c r="B235" s="3" t="s">
        <v>395</v>
      </c>
      <c r="C235" s="2" t="str">
        <f>INDEX(รายการสาร!$B:$B,MATCH($B235,รายการสาร!$A:$A,0))</f>
        <v>น้ำยาสลายไขมันในท่ออุดตัน DG-105B</v>
      </c>
      <c r="D235" s="2" t="str">
        <f>INDEX(รายการสาร!$C:$C,MATCH($B235,รายการสาร!$A:$A,0))</f>
        <v>DG-105B ขนาดถังละ 20 kg</v>
      </c>
      <c r="E235" s="2" t="s">
        <v>394</v>
      </c>
      <c r="F235" s="2" t="s">
        <v>391</v>
      </c>
      <c r="G235" s="3"/>
      <c r="H235" s="3"/>
      <c r="I235" s="3"/>
      <c r="J235" s="3"/>
      <c r="K235" s="3" t="s">
        <v>23</v>
      </c>
      <c r="L235" s="3"/>
      <c r="M235" s="3" t="s">
        <v>23</v>
      </c>
      <c r="N235" s="3"/>
      <c r="O235" s="3"/>
      <c r="P235" s="3"/>
      <c r="Q235" s="3" t="s">
        <v>23</v>
      </c>
      <c r="R235" s="3" t="s">
        <v>23</v>
      </c>
      <c r="S235" s="3" t="s">
        <v>23</v>
      </c>
      <c r="T235" s="3" t="s">
        <v>23</v>
      </c>
      <c r="U235" s="3"/>
      <c r="V235" s="3" t="s">
        <v>23</v>
      </c>
      <c r="W235" s="3"/>
    </row>
    <row r="236" spans="1:23" ht="27.6" customHeight="1" x14ac:dyDescent="0.25">
      <c r="A236" s="2" t="s">
        <v>374</v>
      </c>
      <c r="B236" s="3" t="s">
        <v>396</v>
      </c>
      <c r="C236" s="2" t="str">
        <f>INDEX(รายการสาร!$B:$B,MATCH($B236,รายการสาร!$A:$A,0))</f>
        <v>น้ำยาป้องกันตะกรันและสนิม Carbo Hydro</v>
      </c>
      <c r="D236" s="2" t="str">
        <f>INDEX(รายการสาร!$C:$C,MATCH($B236,รายการสาร!$A:$A,0))</f>
        <v>Carbo Hydro ขนาดถังละ 20 kg</v>
      </c>
      <c r="E236" s="2" t="s">
        <v>394</v>
      </c>
      <c r="F236" s="2" t="s">
        <v>391</v>
      </c>
      <c r="G236" s="3"/>
      <c r="H236" s="3"/>
      <c r="I236" s="3"/>
      <c r="J236" s="3"/>
      <c r="K236" s="3" t="s">
        <v>23</v>
      </c>
      <c r="L236" s="3"/>
      <c r="M236" s="3" t="s">
        <v>23</v>
      </c>
      <c r="N236" s="3"/>
      <c r="O236" s="3"/>
      <c r="P236" s="3"/>
      <c r="Q236" s="3" t="s">
        <v>23</v>
      </c>
      <c r="R236" s="3" t="s">
        <v>23</v>
      </c>
      <c r="S236" s="3" t="s">
        <v>23</v>
      </c>
      <c r="T236" s="3" t="s">
        <v>23</v>
      </c>
      <c r="U236" s="3"/>
      <c r="V236" s="3" t="s">
        <v>23</v>
      </c>
      <c r="W236" s="3"/>
    </row>
    <row r="237" spans="1:23" ht="27.6" customHeight="1" x14ac:dyDescent="0.25">
      <c r="A237" s="2" t="s">
        <v>374</v>
      </c>
      <c r="B237" s="3" t="s">
        <v>397</v>
      </c>
      <c r="C237" s="2" t="str">
        <f>INDEX(รายการสาร!$B:$B,MATCH($B237,รายการสาร!$A:$A,0))</f>
        <v>น้ำยาล้างฟินคอล์ย</v>
      </c>
      <c r="D237" s="2" t="str">
        <f>INDEX(รายการสาร!$C:$C,MATCH($B237,รายการสาร!$A:$A,0))</f>
        <v>DG-104W ขนาดถังละ 20 kg</v>
      </c>
      <c r="E237" s="2" t="s">
        <v>394</v>
      </c>
      <c r="F237" s="2" t="s">
        <v>391</v>
      </c>
      <c r="G237" s="3"/>
      <c r="H237" s="3"/>
      <c r="I237" s="3"/>
      <c r="J237" s="3"/>
      <c r="K237" s="3" t="s">
        <v>23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 t="s">
        <v>23</v>
      </c>
      <c r="W237" s="3"/>
    </row>
    <row r="238" spans="1:23" x14ac:dyDescent="0.25">
      <c r="A238" s="2" t="s">
        <v>374</v>
      </c>
      <c r="B238" s="3" t="s">
        <v>398</v>
      </c>
      <c r="C238" s="2" t="str">
        <f>INDEX(รายการสาร!$B:$B,MATCH($B238,รายการสาร!$A:$A,0))</f>
        <v>น้ำมันดีเซล</v>
      </c>
      <c r="D238" s="2" t="str">
        <f>INDEX(รายการสาร!$C:$C,MATCH($B238,รายการสาร!$A:$A,0))</f>
        <v>น้ำมันดีเซล</v>
      </c>
      <c r="E238" s="2" t="s">
        <v>399</v>
      </c>
      <c r="F238" s="2" t="s">
        <v>400</v>
      </c>
      <c r="G238" s="3"/>
      <c r="H238" s="3" t="s">
        <v>23</v>
      </c>
      <c r="I238" s="3"/>
      <c r="J238" s="3"/>
      <c r="K238" s="3"/>
      <c r="L238" s="3"/>
      <c r="M238" s="3" t="s">
        <v>23</v>
      </c>
      <c r="N238" s="3"/>
      <c r="O238" s="3"/>
      <c r="P238" s="3"/>
      <c r="Q238" s="3"/>
      <c r="R238" s="3" t="s">
        <v>23</v>
      </c>
      <c r="S238" s="3" t="s">
        <v>23</v>
      </c>
      <c r="T238" s="3"/>
      <c r="U238" s="3"/>
      <c r="V238" s="3" t="s">
        <v>23</v>
      </c>
      <c r="W238" s="3" t="s">
        <v>23</v>
      </c>
    </row>
    <row r="239" spans="1:23" x14ac:dyDescent="0.25">
      <c r="A239" s="2" t="s">
        <v>374</v>
      </c>
      <c r="B239" s="3" t="s">
        <v>398</v>
      </c>
      <c r="C239" s="2" t="str">
        <f>INDEX(รายการสาร!$B:$B,MATCH($B239,รายการสาร!$A:$A,0))</f>
        <v>น้ำมันดีเซล</v>
      </c>
      <c r="D239" s="2" t="str">
        <f>INDEX(รายการสาร!$C:$C,MATCH($B239,รายการสาร!$A:$A,0))</f>
        <v>น้ำมันดีเซล</v>
      </c>
      <c r="E239" s="2" t="s">
        <v>401</v>
      </c>
      <c r="F239" s="2" t="s">
        <v>402</v>
      </c>
      <c r="G239" s="3"/>
      <c r="H239" s="3" t="s">
        <v>23</v>
      </c>
      <c r="I239" s="3"/>
      <c r="J239" s="3"/>
      <c r="K239" s="3"/>
      <c r="L239" s="3"/>
      <c r="M239" s="3" t="s">
        <v>23</v>
      </c>
      <c r="N239" s="3"/>
      <c r="O239" s="3"/>
      <c r="P239" s="3"/>
      <c r="Q239" s="3"/>
      <c r="R239" s="3" t="s">
        <v>23</v>
      </c>
      <c r="S239" s="3" t="s">
        <v>23</v>
      </c>
      <c r="T239" s="3"/>
      <c r="U239" s="3"/>
      <c r="V239" s="3" t="s">
        <v>23</v>
      </c>
      <c r="W239" s="3" t="s">
        <v>23</v>
      </c>
    </row>
    <row r="240" spans="1:23" ht="55.2" customHeight="1" x14ac:dyDescent="0.25">
      <c r="A240" s="2" t="s">
        <v>374</v>
      </c>
      <c r="B240" s="3" t="s">
        <v>403</v>
      </c>
      <c r="C240" s="2" t="str">
        <f>INDEX(รายการสาร!$B:$B,MATCH($B240,รายการสาร!$A:$A,0))</f>
        <v>สีน้ำอคิลิค (ใช้น้ำ เป็นส่วนประกอบ) ขนาด 3 แกลลอน</v>
      </c>
      <c r="D240" s="2" t="str">
        <f>INDEX(รายการสาร!$C:$C,MATCH($B240,รายการสาร!$A:$A,0))</f>
        <v>สีน้ำอคิลิค (ใช้น้ำ เป็นส่วนประกอบ) ขนาด 3 แกลลอน</v>
      </c>
      <c r="E240" s="2" t="s">
        <v>404</v>
      </c>
      <c r="F240" s="2" t="s">
        <v>391</v>
      </c>
      <c r="G240" s="3"/>
      <c r="H240" s="3"/>
      <c r="I240" s="3"/>
      <c r="J240" s="3"/>
      <c r="K240" s="3"/>
      <c r="L240" s="3"/>
      <c r="M240" s="3" t="s">
        <v>23</v>
      </c>
      <c r="N240" s="3" t="s">
        <v>23</v>
      </c>
      <c r="O240" s="3"/>
      <c r="P240" s="3"/>
      <c r="Q240" s="3" t="s">
        <v>23</v>
      </c>
      <c r="R240" s="3" t="s">
        <v>23</v>
      </c>
      <c r="S240" s="3"/>
      <c r="T240" s="3"/>
      <c r="U240" s="3"/>
      <c r="V240" s="3"/>
      <c r="W240" s="3"/>
    </row>
    <row r="241" spans="1:23" ht="55.2" customHeight="1" x14ac:dyDescent="0.25">
      <c r="A241" s="2" t="s">
        <v>374</v>
      </c>
      <c r="B241" s="3" t="s">
        <v>405</v>
      </c>
      <c r="C241" s="2" t="str">
        <f>INDEX(รายการสาร!$B:$B,MATCH($B241,รายการสาร!$A:$A,0))</f>
        <v>สีน้ำอคิลิค (ใช้น้ำ เป็นส่วนประกอบ) ขนาด 5 แกลลอน</v>
      </c>
      <c r="D241" s="2" t="str">
        <f>INDEX(รายการสาร!$C:$C,MATCH($B241,รายการสาร!$A:$A,0))</f>
        <v>สีน้ำอคิลิค (ใช้น้ำ เป็นส่วนประกอบ) ขนาด 5 แกลลอน</v>
      </c>
      <c r="E241" s="2" t="s">
        <v>406</v>
      </c>
      <c r="F241" s="2" t="s">
        <v>391</v>
      </c>
      <c r="G241" s="3"/>
      <c r="H241" s="3"/>
      <c r="I241" s="3"/>
      <c r="J241" s="3"/>
      <c r="K241" s="3"/>
      <c r="L241" s="3"/>
      <c r="M241" s="3" t="s">
        <v>23</v>
      </c>
      <c r="N241" s="3" t="s">
        <v>23</v>
      </c>
      <c r="O241" s="3"/>
      <c r="P241" s="3"/>
      <c r="Q241" s="3" t="s">
        <v>23</v>
      </c>
      <c r="R241" s="3" t="s">
        <v>23</v>
      </c>
      <c r="S241" s="3"/>
      <c r="T241" s="3"/>
      <c r="U241" s="3"/>
      <c r="V241" s="3" t="s">
        <v>23</v>
      </c>
      <c r="W241" s="3"/>
    </row>
    <row r="242" spans="1:23" ht="55.2" customHeight="1" x14ac:dyDescent="0.25">
      <c r="A242" s="2" t="s">
        <v>374</v>
      </c>
      <c r="B242" s="3" t="s">
        <v>407</v>
      </c>
      <c r="C242" s="2" t="str">
        <f>INDEX(รายการสาร!$B:$B,MATCH($B242,รายการสาร!$A:$A,0))</f>
        <v>สีน้ำมัน (ใช้ทินเนอร์ เป็นส่วนประกอบ) ขนาด 3 แกลลอน</v>
      </c>
      <c r="D242" s="2" t="str">
        <f>INDEX(รายการสาร!$C:$C,MATCH($B242,รายการสาร!$A:$A,0))</f>
        <v>สีน้ำมัน (ใช้ทินเนอร์ เป็นส่วนประกอบ) ขนาด 3 แกลลอน</v>
      </c>
      <c r="E242" s="2" t="s">
        <v>408</v>
      </c>
      <c r="F242" s="2" t="s">
        <v>391</v>
      </c>
      <c r="G242" s="3"/>
      <c r="H242" s="3" t="s">
        <v>23</v>
      </c>
      <c r="I242" s="3"/>
      <c r="J242" s="3"/>
      <c r="K242" s="3" t="s">
        <v>23</v>
      </c>
      <c r="L242" s="3"/>
      <c r="M242" s="3" t="s">
        <v>23</v>
      </c>
      <c r="N242" s="3" t="s">
        <v>23</v>
      </c>
      <c r="O242" s="3"/>
      <c r="P242" s="3"/>
      <c r="Q242" s="3" t="s">
        <v>23</v>
      </c>
      <c r="R242" s="3" t="s">
        <v>23</v>
      </c>
      <c r="S242" s="3"/>
      <c r="T242" s="3"/>
      <c r="U242" s="3"/>
      <c r="V242" s="3" t="s">
        <v>23</v>
      </c>
      <c r="W242" s="3" t="s">
        <v>23</v>
      </c>
    </row>
    <row r="243" spans="1:23" ht="27.6" customHeight="1" x14ac:dyDescent="0.25">
      <c r="A243" s="2" t="s">
        <v>374</v>
      </c>
      <c r="B243" s="3" t="s">
        <v>409</v>
      </c>
      <c r="C243" s="2" t="str">
        <f>INDEX(รายการสาร!$B:$B,MATCH($B243,รายการสาร!$A:$A,0))</f>
        <v>ทินเนอร์ ขนาด 1 แกลลอน</v>
      </c>
      <c r="D243" s="2" t="str">
        <f>INDEX(รายการสาร!$C:$C,MATCH($B243,รายการสาร!$A:$A,0))</f>
        <v>ทินเนอร์ ขนาด 1 แกลลอน</v>
      </c>
      <c r="E243" s="2" t="s">
        <v>410</v>
      </c>
      <c r="F243" s="2" t="s">
        <v>391</v>
      </c>
      <c r="G243" s="3"/>
      <c r="H243" s="3" t="s">
        <v>23</v>
      </c>
      <c r="I243" s="3"/>
      <c r="J243" s="3"/>
      <c r="K243" s="3"/>
      <c r="L243" s="3"/>
      <c r="M243" s="3" t="s">
        <v>23</v>
      </c>
      <c r="N243" s="3" t="s">
        <v>23</v>
      </c>
      <c r="O243" s="3"/>
      <c r="P243" s="3"/>
      <c r="Q243" s="3" t="s">
        <v>23</v>
      </c>
      <c r="R243" s="3" t="s">
        <v>23</v>
      </c>
      <c r="S243" s="3"/>
      <c r="T243" s="3"/>
      <c r="U243" s="3"/>
      <c r="V243" s="3"/>
      <c r="W243" s="3" t="s">
        <v>23</v>
      </c>
    </row>
    <row r="244" spans="1:23" ht="27.6" customHeight="1" x14ac:dyDescent="0.25">
      <c r="A244" s="2" t="s">
        <v>374</v>
      </c>
      <c r="B244" s="3" t="s">
        <v>411</v>
      </c>
      <c r="C244" s="2" t="str">
        <f>INDEX(รายการสาร!$B:$B,MATCH($B244,รายการสาร!$A:$A,0))</f>
        <v>ทินเนอร์ ขนาด 3 แกลลอน</v>
      </c>
      <c r="D244" s="2" t="str">
        <f>INDEX(รายการสาร!$C:$C,MATCH($B244,รายการสาร!$A:$A,0))</f>
        <v>ทินเนอร์ ขนาด 3 แกลลอน</v>
      </c>
      <c r="E244" s="2" t="s">
        <v>412</v>
      </c>
      <c r="F244" s="2" t="s">
        <v>391</v>
      </c>
      <c r="G244" s="3"/>
      <c r="H244" s="3" t="s">
        <v>23</v>
      </c>
      <c r="I244" s="3"/>
      <c r="J244" s="3"/>
      <c r="K244" s="3"/>
      <c r="L244" s="3"/>
      <c r="M244" s="3" t="s">
        <v>23</v>
      </c>
      <c r="N244" s="3" t="s">
        <v>23</v>
      </c>
      <c r="O244" s="3" t="s">
        <v>23</v>
      </c>
      <c r="P244" s="3"/>
      <c r="Q244" s="3" t="s">
        <v>23</v>
      </c>
      <c r="R244" s="3" t="s">
        <v>23</v>
      </c>
      <c r="S244" s="3"/>
      <c r="T244" s="3"/>
      <c r="U244" s="3"/>
      <c r="V244" s="3" t="s">
        <v>23</v>
      </c>
      <c r="W244" s="3" t="s">
        <v>23</v>
      </c>
    </row>
    <row r="245" spans="1:23" ht="55.2" customHeight="1" x14ac:dyDescent="0.25">
      <c r="A245" s="2" t="s">
        <v>374</v>
      </c>
      <c r="B245" s="3" t="s">
        <v>413</v>
      </c>
      <c r="C245" s="2" t="str">
        <f>INDEX(รายการสาร!$B:$B,MATCH($B245,รายการสาร!$A:$A,0))</f>
        <v>แอลกอฮอล ผสมแชล็คเคลือบเงา ขนาด 1 แกลลอน</v>
      </c>
      <c r="D245" s="2" t="str">
        <f>INDEX(รายการสาร!$C:$C,MATCH($B245,รายการสาร!$A:$A,0))</f>
        <v>แอลกอฮอล ผสมแชล็คเคลือบเงา ขนาด 1 แกลลอน</v>
      </c>
      <c r="E245" s="2" t="s">
        <v>394</v>
      </c>
      <c r="F245" s="2" t="s">
        <v>391</v>
      </c>
      <c r="G245" s="3"/>
      <c r="H245" s="3" t="s">
        <v>23</v>
      </c>
      <c r="I245" s="3"/>
      <c r="J245" s="3"/>
      <c r="K245" s="3"/>
      <c r="L245" s="3"/>
      <c r="M245" s="3" t="s">
        <v>23</v>
      </c>
      <c r="N245" s="3" t="s">
        <v>23</v>
      </c>
      <c r="O245" s="3"/>
      <c r="P245" s="3"/>
      <c r="Q245" s="3" t="s">
        <v>23</v>
      </c>
      <c r="R245" s="3" t="s">
        <v>23</v>
      </c>
      <c r="S245" s="3"/>
      <c r="T245" s="3"/>
      <c r="U245" s="3"/>
      <c r="V245" s="3"/>
      <c r="W245" s="3" t="s">
        <v>23</v>
      </c>
    </row>
    <row r="246" spans="1:23" ht="27.6" customHeight="1" x14ac:dyDescent="0.25">
      <c r="A246" s="2" t="s">
        <v>374</v>
      </c>
      <c r="B246" s="3" t="s">
        <v>414</v>
      </c>
      <c r="C246" s="2" t="str">
        <f>INDEX(รายการสาร!$B:$B,MATCH($B246,รายการสาร!$A:$A,0))</f>
        <v>น้ำมันสน ขนาด 1 แกลลอน</v>
      </c>
      <c r="D246" s="2" t="str">
        <f>INDEX(รายการสาร!$C:$C,MATCH($B246,รายการสาร!$A:$A,0))</f>
        <v>น้ำมันสน ขนาด 1 แกลลอน</v>
      </c>
      <c r="E246" s="2" t="s">
        <v>412</v>
      </c>
      <c r="F246" s="2" t="s">
        <v>391</v>
      </c>
      <c r="G246" s="3"/>
      <c r="H246" s="3" t="s">
        <v>23</v>
      </c>
      <c r="I246" s="3"/>
      <c r="J246" s="3"/>
      <c r="K246" s="3"/>
      <c r="L246" s="3"/>
      <c r="M246" s="3" t="s">
        <v>23</v>
      </c>
      <c r="N246" s="3" t="s">
        <v>23</v>
      </c>
      <c r="O246" s="3"/>
      <c r="P246" s="3"/>
      <c r="Q246" s="3" t="s">
        <v>23</v>
      </c>
      <c r="R246" s="3" t="s">
        <v>23</v>
      </c>
      <c r="S246" s="3"/>
      <c r="T246" s="3"/>
      <c r="U246" s="3"/>
      <c r="V246" s="3"/>
      <c r="W246" s="3" t="s">
        <v>23</v>
      </c>
    </row>
    <row r="247" spans="1:23" x14ac:dyDescent="0.25">
      <c r="A247" s="2" t="s">
        <v>374</v>
      </c>
      <c r="B247" s="3" t="s">
        <v>415</v>
      </c>
      <c r="C247" s="2" t="str">
        <f>INDEX(รายการสาร!$B:$B,MATCH($B247,รายการสาร!$A:$A,0))</f>
        <v>กาวยาง</v>
      </c>
      <c r="D247" s="2" t="str">
        <f>INDEX(รายการสาร!$C:$C,MATCH($B247,รายการสาร!$A:$A,0))</f>
        <v>กาวยาง</v>
      </c>
      <c r="E247" s="2" t="s">
        <v>410</v>
      </c>
      <c r="F247" s="2" t="s">
        <v>391</v>
      </c>
      <c r="G247" s="3"/>
      <c r="H247" s="3" t="s">
        <v>23</v>
      </c>
      <c r="I247" s="3"/>
      <c r="J247" s="3"/>
      <c r="K247" s="3"/>
      <c r="L247" s="3"/>
      <c r="M247" s="3" t="s">
        <v>23</v>
      </c>
      <c r="N247" s="3"/>
      <c r="O247" s="3"/>
      <c r="P247" s="3"/>
      <c r="Q247" s="3"/>
      <c r="R247" s="3" t="s">
        <v>23</v>
      </c>
      <c r="S247" s="3" t="s">
        <v>23</v>
      </c>
      <c r="T247" s="3"/>
      <c r="U247" s="3"/>
      <c r="V247" s="3"/>
      <c r="W247" s="3" t="s">
        <v>23</v>
      </c>
    </row>
    <row r="248" spans="1:23" x14ac:dyDescent="0.25">
      <c r="A248" s="2" t="s">
        <v>374</v>
      </c>
      <c r="B248" s="3" t="s">
        <v>416</v>
      </c>
      <c r="C248" s="2" t="str">
        <f>INDEX(รายการสาร!$B:$B,MATCH($B248,รายการสาร!$A:$A,0))</f>
        <v>โซแน็ค</v>
      </c>
      <c r="D248" s="2" t="str">
        <f>INDEX(รายการสาร!$C:$C,MATCH($B248,รายการสาร!$A:$A,0))</f>
        <v>โซแน็ค</v>
      </c>
      <c r="E248" s="2" t="s">
        <v>410</v>
      </c>
      <c r="F248" s="2" t="s">
        <v>391</v>
      </c>
      <c r="G248" s="3"/>
      <c r="H248" s="3" t="s">
        <v>23</v>
      </c>
      <c r="I248" s="3" t="s">
        <v>23</v>
      </c>
      <c r="J248" s="3"/>
      <c r="K248" s="3"/>
      <c r="L248" s="3"/>
      <c r="M248" s="3" t="s">
        <v>23</v>
      </c>
      <c r="N248" s="3"/>
      <c r="O248" s="3" t="s">
        <v>23</v>
      </c>
      <c r="P248" s="3"/>
      <c r="Q248" s="3"/>
      <c r="R248" s="3" t="s">
        <v>23</v>
      </c>
      <c r="S248" s="3" t="s">
        <v>23</v>
      </c>
      <c r="T248" s="3"/>
      <c r="U248" s="3"/>
      <c r="V248" s="3"/>
      <c r="W248" s="3" t="s">
        <v>23</v>
      </c>
    </row>
    <row r="249" spans="1:23" x14ac:dyDescent="0.25">
      <c r="A249" s="2" t="s">
        <v>374</v>
      </c>
      <c r="B249" s="3" t="s">
        <v>417</v>
      </c>
      <c r="C249" s="2" t="str">
        <f>INDEX(รายการสาร!$B:$B,MATCH($B249,รายการสาร!$A:$A,0))</f>
        <v>กาวทาท่อพีวีซี</v>
      </c>
      <c r="D249" s="2" t="str">
        <f>INDEX(รายการสาร!$C:$C,MATCH($B249,รายการสาร!$A:$A,0))</f>
        <v>กาวทาท่อพีวีซี</v>
      </c>
      <c r="E249" s="2" t="s">
        <v>412</v>
      </c>
      <c r="F249" s="2" t="s">
        <v>391</v>
      </c>
      <c r="G249" s="3"/>
      <c r="H249" s="3" t="s">
        <v>23</v>
      </c>
      <c r="I249" s="3"/>
      <c r="J249" s="3"/>
      <c r="K249" s="3"/>
      <c r="L249" s="3"/>
      <c r="M249" s="3" t="s">
        <v>23</v>
      </c>
      <c r="N249" s="3"/>
      <c r="O249" s="3"/>
      <c r="P249" s="3"/>
      <c r="Q249" s="3"/>
      <c r="R249" s="3" t="s">
        <v>23</v>
      </c>
      <c r="S249" s="3" t="s">
        <v>23</v>
      </c>
      <c r="T249" s="3"/>
      <c r="U249" s="3"/>
      <c r="V249" s="3"/>
      <c r="W249" s="3" t="s">
        <v>23</v>
      </c>
    </row>
    <row r="250" spans="1:23" x14ac:dyDescent="0.25">
      <c r="A250" s="2" t="s">
        <v>374</v>
      </c>
      <c r="B250" s="3" t="s">
        <v>418</v>
      </c>
      <c r="C250" s="2" t="str">
        <f>INDEX(รายการสาร!$B:$B,MATCH($B250,รายการสาร!$A:$A,0))</f>
        <v>น้ำยาแอร์ R-22</v>
      </c>
      <c r="D250" s="2" t="str">
        <f>INDEX(รายการสาร!$C:$C,MATCH($B250,รายการสาร!$A:$A,0))</f>
        <v>น้ำยาแอร์ R-23</v>
      </c>
      <c r="E250" s="2" t="s">
        <v>419</v>
      </c>
      <c r="F250" s="2" t="s">
        <v>391</v>
      </c>
      <c r="G250" s="3"/>
      <c r="H250" s="3"/>
      <c r="I250" s="3"/>
      <c r="J250" s="3"/>
      <c r="K250" s="3"/>
      <c r="L250" s="3" t="s">
        <v>23</v>
      </c>
      <c r="M250" s="3" t="s">
        <v>23</v>
      </c>
      <c r="N250" s="3" t="s">
        <v>23</v>
      </c>
      <c r="O250" s="3" t="s">
        <v>23</v>
      </c>
      <c r="P250" s="3"/>
      <c r="Q250" s="3" t="s">
        <v>23</v>
      </c>
      <c r="R250" s="3" t="s">
        <v>23</v>
      </c>
      <c r="S250" s="3"/>
      <c r="T250" s="3"/>
      <c r="U250" s="3"/>
      <c r="V250" s="3" t="s">
        <v>23</v>
      </c>
      <c r="W250" s="3"/>
    </row>
    <row r="251" spans="1:23" x14ac:dyDescent="0.25">
      <c r="A251" s="2" t="s">
        <v>374</v>
      </c>
      <c r="B251" s="3" t="s">
        <v>420</v>
      </c>
      <c r="C251" s="2" t="str">
        <f>INDEX(รายการสาร!$B:$B,MATCH($B251,รายการสาร!$A:$A,0))</f>
        <v>น้ำยาล้างแอร์</v>
      </c>
      <c r="D251" s="2" t="str">
        <f>INDEX(รายการสาร!$C:$C,MATCH($B251,รายการสาร!$A:$A,0))</f>
        <v>น้ำยาล้างแอร์</v>
      </c>
      <c r="E251" s="2" t="s">
        <v>383</v>
      </c>
      <c r="F251" s="2" t="s">
        <v>391</v>
      </c>
      <c r="G251" s="3"/>
      <c r="H251" s="3"/>
      <c r="I251" s="3"/>
      <c r="J251" s="3"/>
      <c r="K251" s="3" t="s">
        <v>23</v>
      </c>
      <c r="L251" s="3"/>
      <c r="M251" s="3" t="s">
        <v>23</v>
      </c>
      <c r="N251" s="3" t="s">
        <v>23</v>
      </c>
      <c r="O251" s="3" t="s">
        <v>23</v>
      </c>
      <c r="P251" s="3"/>
      <c r="Q251" s="3" t="s">
        <v>23</v>
      </c>
      <c r="R251" s="3" t="s">
        <v>23</v>
      </c>
      <c r="S251" s="3" t="s">
        <v>23</v>
      </c>
      <c r="T251" s="3" t="s">
        <v>23</v>
      </c>
      <c r="U251" s="3"/>
      <c r="V251" s="3" t="s">
        <v>23</v>
      </c>
      <c r="W251" s="3"/>
    </row>
    <row r="252" spans="1:23" ht="41.4" customHeight="1" x14ac:dyDescent="0.25">
      <c r="A252" s="2" t="s">
        <v>374</v>
      </c>
      <c r="B252" s="3" t="s">
        <v>113</v>
      </c>
      <c r="C252" s="2" t="str">
        <f>INDEX(รายการสาร!$B:$B,MATCH($B252,รายการสาร!$A:$A,0))</f>
        <v>น้ำยาล้างจาน</v>
      </c>
      <c r="D252" s="2" t="str">
        <f>INDEX(รายการสาร!$C:$C,MATCH($B252,รายการสาร!$A:$A,0))</f>
        <v>ไลปอนเอฟ หรือ มาวิน หรือ ซันไลต์</v>
      </c>
      <c r="E252" s="2" t="s">
        <v>394</v>
      </c>
      <c r="F252" s="2" t="s">
        <v>391</v>
      </c>
      <c r="G252" s="3"/>
      <c r="H252" s="3"/>
      <c r="I252" s="3"/>
      <c r="J252" s="3"/>
      <c r="K252" s="3"/>
      <c r="L252" s="3"/>
      <c r="M252" s="3"/>
      <c r="N252" s="3"/>
      <c r="O252" s="3" t="s">
        <v>23</v>
      </c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2" t="s">
        <v>374</v>
      </c>
      <c r="B253" s="3" t="s">
        <v>421</v>
      </c>
      <c r="C253" s="2" t="str">
        <f>INDEX(รายการสาร!$B:$B,MATCH($B253,รายการสาร!$A:$A,0))</f>
        <v>น้ำยาล้างมือ</v>
      </c>
      <c r="D253" s="2" t="str">
        <f>INDEX(รายการสาร!$C:$C,MATCH($B253,รายการสาร!$A:$A,0))</f>
        <v>น้ำยาล้างมือ</v>
      </c>
      <c r="E253" s="2" t="s">
        <v>394</v>
      </c>
      <c r="F253" s="2" t="s">
        <v>391</v>
      </c>
      <c r="G253" s="3"/>
      <c r="H253" s="3"/>
      <c r="I253" s="3"/>
      <c r="J253" s="3"/>
      <c r="K253" s="3"/>
      <c r="L253" s="3"/>
      <c r="M253" s="3"/>
      <c r="N253" s="3"/>
      <c r="O253" s="3" t="s">
        <v>23</v>
      </c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2" t="s">
        <v>374</v>
      </c>
      <c r="B254" s="3" t="s">
        <v>422</v>
      </c>
      <c r="C254" s="2" t="str">
        <f>INDEX(รายการสาร!$B:$B,MATCH($B254,รายการสาร!$A:$A,0))</f>
        <v>สเปรย์กำจัดแมลง</v>
      </c>
      <c r="D254" s="2" t="str">
        <f>INDEX(รายการสาร!$C:$C,MATCH($B254,รายการสาร!$A:$A,0))</f>
        <v>สเปรย์กำจัดแมลง</v>
      </c>
      <c r="E254" s="2" t="s">
        <v>423</v>
      </c>
      <c r="F254" s="2" t="s">
        <v>391</v>
      </c>
      <c r="G254" s="3"/>
      <c r="H254" s="3"/>
      <c r="I254" s="3"/>
      <c r="J254" s="3" t="s">
        <v>23</v>
      </c>
      <c r="K254" s="3"/>
      <c r="L254" s="3" t="s">
        <v>23</v>
      </c>
      <c r="M254" s="3"/>
      <c r="N254" s="3" t="s">
        <v>23</v>
      </c>
      <c r="O254" s="3"/>
      <c r="P254" s="3"/>
      <c r="Q254" s="3"/>
      <c r="R254" s="3" t="s">
        <v>23</v>
      </c>
      <c r="S254" s="3"/>
      <c r="T254" s="3"/>
      <c r="U254" s="3"/>
      <c r="V254" s="3"/>
      <c r="W254" s="3"/>
    </row>
    <row r="255" spans="1:23" ht="27.6" customHeight="1" x14ac:dyDescent="0.25">
      <c r="A255" s="2" t="s">
        <v>374</v>
      </c>
      <c r="B255" s="3" t="s">
        <v>424</v>
      </c>
      <c r="C255" s="2" t="str">
        <f>INDEX(รายการสาร!$B:$B,MATCH($B255,รายการสาร!$A:$A,0))</f>
        <v>แผนกมีสารเคมีอันตรายชนิดไวไฟมากที่สุดใน ร.พ. ควรหลีกเลี่ยงการทำให้เกิดประกายไฟ</v>
      </c>
      <c r="D255" s="2">
        <f>INDEX(รายการสาร!$C:$C,MATCH($B255,รายการสาร!$A:$A,0))</f>
        <v>0</v>
      </c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2" t="s">
        <v>51</v>
      </c>
      <c r="B256" s="3" t="s">
        <v>45</v>
      </c>
      <c r="C256" s="2" t="str">
        <f>INDEX(รายการสาร!$B:$B,MATCH($B256,รายการสาร!$A:$A,0))</f>
        <v>Alcohol Pad</v>
      </c>
      <c r="D256" s="2" t="str">
        <f>INDEX(รายการสาร!$C:$C,MATCH($B256,รายการสาร!$A:$A,0))</f>
        <v>Neoplast</v>
      </c>
      <c r="E256" s="2" t="s">
        <v>425</v>
      </c>
      <c r="F256" s="2" t="s">
        <v>426</v>
      </c>
      <c r="G256" s="3"/>
      <c r="H256" s="3" t="s">
        <v>23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 t="s">
        <v>23</v>
      </c>
    </row>
    <row r="257" spans="1:23" ht="27.6" customHeight="1" x14ac:dyDescent="0.25">
      <c r="A257" s="2" t="s">
        <v>51</v>
      </c>
      <c r="B257" s="3" t="s">
        <v>26</v>
      </c>
      <c r="C257" s="2" t="str">
        <f>INDEX(รายการสาร!$B:$B,MATCH($B257,รายการสาร!$A:$A,0))</f>
        <v>70% alcohol</v>
      </c>
      <c r="D257" s="2" t="str">
        <f>INDEX(รายการสาร!$C:$C,MATCH($B257,รายการสาร!$A:$A,0))</f>
        <v>Preservative solution 70%</v>
      </c>
      <c r="E257" s="2" t="s">
        <v>427</v>
      </c>
      <c r="F257" s="2" t="s">
        <v>287</v>
      </c>
      <c r="G257" s="3"/>
      <c r="H257" s="3" t="s">
        <v>23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 t="s">
        <v>23</v>
      </c>
    </row>
    <row r="258" spans="1:23" x14ac:dyDescent="0.25">
      <c r="A258" s="2" t="s">
        <v>51</v>
      </c>
      <c r="B258" s="3" t="s">
        <v>428</v>
      </c>
      <c r="C258" s="2" t="str">
        <f>INDEX(รายการสาร!$B:$B,MATCH($B258,รายการสาร!$A:$A,0))</f>
        <v>Crystal violet</v>
      </c>
      <c r="D258" s="2" t="str">
        <f>INDEX(รายการสาร!$C:$C,MATCH($B258,รายการสาร!$A:$A,0))</f>
        <v>Crystal violet</v>
      </c>
      <c r="E258" s="2" t="s">
        <v>429</v>
      </c>
      <c r="F258" s="2" t="s">
        <v>122</v>
      </c>
      <c r="G258" s="3"/>
      <c r="H258" s="3"/>
      <c r="I258" s="3"/>
      <c r="J258" s="3"/>
      <c r="K258" s="3"/>
      <c r="L258" s="3"/>
      <c r="M258" s="3" t="s">
        <v>23</v>
      </c>
      <c r="N258" s="3" t="s">
        <v>23</v>
      </c>
      <c r="O258" s="3" t="s">
        <v>23</v>
      </c>
      <c r="P258" s="3"/>
      <c r="Q258" s="3"/>
      <c r="R258" s="3"/>
      <c r="S258" s="3"/>
      <c r="T258" s="3"/>
      <c r="U258" s="3"/>
      <c r="V258" s="3"/>
      <c r="W258" s="3"/>
    </row>
    <row r="259" spans="1:23" ht="41.4" customHeight="1" x14ac:dyDescent="0.25">
      <c r="A259" s="2" t="s">
        <v>51</v>
      </c>
      <c r="B259" s="3" t="s">
        <v>430</v>
      </c>
      <c r="C259" s="2" t="str">
        <f>INDEX(รายการสาร!$B:$B,MATCH($B259,รายการสาร!$A:$A,0))</f>
        <v>Giema's azure eosin methylene blue</v>
      </c>
      <c r="D259" s="2" t="str">
        <f>INDEX(รายการสาร!$C:$C,MATCH($B259,รายการสาร!$A:$A,0))</f>
        <v>Giema's azure eosin methyline blue solution</v>
      </c>
      <c r="E259" s="2" t="s">
        <v>431</v>
      </c>
      <c r="F259" s="2" t="s">
        <v>122</v>
      </c>
      <c r="G259" s="3"/>
      <c r="H259" s="3"/>
      <c r="I259" s="3"/>
      <c r="J259" s="3"/>
      <c r="K259" s="3"/>
      <c r="L259" s="3"/>
      <c r="M259" s="3"/>
      <c r="N259" s="3"/>
      <c r="O259" s="3" t="s">
        <v>23</v>
      </c>
      <c r="P259" s="3"/>
      <c r="Q259" s="3" t="s">
        <v>23</v>
      </c>
      <c r="R259" s="3" t="s">
        <v>23</v>
      </c>
      <c r="S259" s="3" t="s">
        <v>23</v>
      </c>
      <c r="T259" s="3" t="s">
        <v>23</v>
      </c>
      <c r="U259" s="3"/>
      <c r="V259" s="3"/>
      <c r="W259" s="3"/>
    </row>
    <row r="260" spans="1:23" x14ac:dyDescent="0.25">
      <c r="A260" s="2" t="s">
        <v>51</v>
      </c>
      <c r="B260" s="3" t="s">
        <v>432</v>
      </c>
      <c r="C260" s="2" t="str">
        <f>INDEX(รายการสาร!$B:$B,MATCH($B260,รายการสาร!$A:$A,0))</f>
        <v>Immersion oil</v>
      </c>
      <c r="D260" s="2" t="str">
        <f>INDEX(รายการสาร!$C:$C,MATCH($B260,รายการสาร!$A:$A,0))</f>
        <v>Immersion oil</v>
      </c>
      <c r="E260" s="2" t="s">
        <v>250</v>
      </c>
      <c r="F260" s="2" t="s">
        <v>122</v>
      </c>
      <c r="G260" s="3"/>
      <c r="H260" s="3"/>
      <c r="I260" s="3"/>
      <c r="J260" s="3"/>
      <c r="K260" s="3"/>
      <c r="L260" s="3"/>
      <c r="M260" s="3"/>
      <c r="N260" s="3"/>
      <c r="O260" s="3" t="s">
        <v>23</v>
      </c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2" t="s">
        <v>51</v>
      </c>
      <c r="B261" s="3" t="s">
        <v>433</v>
      </c>
      <c r="C261" s="2" t="str">
        <f>INDEX(รายการสาร!$B:$B,MATCH($B261,รายการสาร!$A:$A,0))</f>
        <v>Iodine</v>
      </c>
      <c r="D261" s="2" t="str">
        <f>INDEX(รายการสาร!$C:$C,MATCH($B261,รายการสาร!$A:$A,0))</f>
        <v>Iodine</v>
      </c>
      <c r="E261" s="2" t="s">
        <v>429</v>
      </c>
      <c r="F261" s="2" t="s">
        <v>122</v>
      </c>
      <c r="G261" s="3"/>
      <c r="H261" s="3"/>
      <c r="I261" s="3"/>
      <c r="J261" s="3"/>
      <c r="K261" s="3"/>
      <c r="L261" s="3"/>
      <c r="M261" s="3" t="s">
        <v>23</v>
      </c>
      <c r="N261" s="3" t="s">
        <v>23</v>
      </c>
      <c r="O261" s="3" t="s">
        <v>23</v>
      </c>
      <c r="P261" s="3"/>
      <c r="Q261" s="3" t="s">
        <v>23</v>
      </c>
      <c r="R261" s="3" t="s">
        <v>23</v>
      </c>
      <c r="S261" s="3"/>
      <c r="T261" s="3"/>
      <c r="U261" s="3"/>
      <c r="V261" s="3"/>
      <c r="W261" s="3"/>
    </row>
    <row r="262" spans="1:23" x14ac:dyDescent="0.25">
      <c r="A262" s="2" t="s">
        <v>51</v>
      </c>
      <c r="B262" s="3" t="s">
        <v>434</v>
      </c>
      <c r="C262" s="2" t="str">
        <f>INDEX(รายการสาร!$B:$B,MATCH($B262,รายการสาร!$A:$A,0))</f>
        <v>Methyl alcohol</v>
      </c>
      <c r="D262" s="2" t="str">
        <f>INDEX(รายการสาร!$C:$C,MATCH($B262,รายการสาร!$A:$A,0))</f>
        <v>Methyl alcohol</v>
      </c>
      <c r="E262" s="2" t="s">
        <v>435</v>
      </c>
      <c r="F262" s="2" t="s">
        <v>122</v>
      </c>
      <c r="G262" s="3"/>
      <c r="H262" s="3" t="s">
        <v>23</v>
      </c>
      <c r="I262" s="3"/>
      <c r="J262" s="3" t="s">
        <v>23</v>
      </c>
      <c r="K262" s="3"/>
      <c r="L262" s="3"/>
      <c r="M262" s="3" t="s">
        <v>23</v>
      </c>
      <c r="N262" s="3"/>
      <c r="O262" s="3"/>
      <c r="P262" s="3"/>
      <c r="Q262" s="3" t="s">
        <v>23</v>
      </c>
      <c r="R262" s="3" t="s">
        <v>23</v>
      </c>
      <c r="S262" s="3" t="s">
        <v>23</v>
      </c>
      <c r="T262" s="3" t="s">
        <v>23</v>
      </c>
      <c r="U262" s="3"/>
      <c r="V262" s="3" t="s">
        <v>23</v>
      </c>
      <c r="W262" s="3" t="s">
        <v>23</v>
      </c>
    </row>
    <row r="263" spans="1:23" x14ac:dyDescent="0.25">
      <c r="A263" s="2" t="s">
        <v>51</v>
      </c>
      <c r="B263" s="3" t="s">
        <v>436</v>
      </c>
      <c r="C263" s="2" t="str">
        <f>INDEX(รายการสาร!$B:$B,MATCH($B263,รายการสาร!$A:$A,0))</f>
        <v>Methylene blue</v>
      </c>
      <c r="D263" s="2" t="str">
        <f>INDEX(รายการสาร!$C:$C,MATCH($B263,รายการสาร!$A:$A,0))</f>
        <v>Methylene blue</v>
      </c>
      <c r="E263" s="2" t="s">
        <v>437</v>
      </c>
      <c r="F263" s="2" t="s">
        <v>122</v>
      </c>
      <c r="G263" s="3"/>
      <c r="H263" s="3"/>
      <c r="I263" s="3"/>
      <c r="J263" s="3"/>
      <c r="K263" s="3"/>
      <c r="L263" s="3"/>
      <c r="M263" s="3" t="s">
        <v>23</v>
      </c>
      <c r="N263" s="3" t="s">
        <v>23</v>
      </c>
      <c r="O263" s="3" t="s">
        <v>23</v>
      </c>
      <c r="P263" s="3"/>
      <c r="Q263" s="3" t="s">
        <v>23</v>
      </c>
      <c r="R263" s="3" t="s">
        <v>23</v>
      </c>
      <c r="S263" s="3" t="s">
        <v>23</v>
      </c>
      <c r="T263" s="3" t="s">
        <v>23</v>
      </c>
      <c r="U263" s="3"/>
      <c r="V263" s="3"/>
      <c r="W263" s="3"/>
    </row>
    <row r="264" spans="1:23" ht="27.6" customHeight="1" x14ac:dyDescent="0.25">
      <c r="A264" s="2" t="s">
        <v>51</v>
      </c>
      <c r="B264" s="3" t="s">
        <v>438</v>
      </c>
      <c r="C264" s="2" t="str">
        <f>INDEX(รายการสาร!$B:$B,MATCH($B264,รายการสาร!$A:$A,0))</f>
        <v>Potassium hydroxide</v>
      </c>
      <c r="D264" s="2" t="str">
        <f>INDEX(รายการสาร!$C:$C,MATCH($B264,รายการสาร!$A:$A,0))</f>
        <v>Potassium hydroxide</v>
      </c>
      <c r="E264" s="2" t="s">
        <v>439</v>
      </c>
      <c r="F264" s="2" t="s">
        <v>122</v>
      </c>
      <c r="G264" s="3"/>
      <c r="H264" s="3"/>
      <c r="I264" s="3"/>
      <c r="J264" s="3"/>
      <c r="K264" s="3"/>
      <c r="L264" s="3"/>
      <c r="M264" s="3"/>
      <c r="N264" s="3"/>
      <c r="O264" s="3" t="s">
        <v>23</v>
      </c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2" t="s">
        <v>51</v>
      </c>
      <c r="B265" s="3" t="s">
        <v>32</v>
      </c>
      <c r="C265" s="2" t="str">
        <f>INDEX(รายการสาร!$B:$B,MATCH($B265,รายการสาร!$A:$A,0))</f>
        <v>Gel ล้างมือติดผนัง</v>
      </c>
      <c r="D265" s="2" t="str">
        <f>INDEX(รายการสาร!$C:$C,MATCH($B265,รายการสาร!$A:$A,0))</f>
        <v>Purell</v>
      </c>
      <c r="E265" s="2" t="s">
        <v>128</v>
      </c>
      <c r="F265" s="2" t="s">
        <v>129</v>
      </c>
      <c r="G265" s="3"/>
      <c r="H265" s="3" t="s">
        <v>23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 t="s">
        <v>23</v>
      </c>
    </row>
    <row r="266" spans="1:23" x14ac:dyDescent="0.25">
      <c r="A266" s="2" t="s">
        <v>51</v>
      </c>
      <c r="B266" s="3" t="s">
        <v>440</v>
      </c>
      <c r="C266" s="2" t="str">
        <f>INDEX(รายการสาร!$B:$B,MATCH($B266,รายการสาร!$A:$A,0))</f>
        <v>สเปรย์ปรับอากาศ</v>
      </c>
      <c r="D266" s="2" t="str">
        <f>INDEX(รายการสาร!$C:$C,MATCH($B266,รายการสาร!$A:$A,0))</f>
        <v>Glade</v>
      </c>
      <c r="E266" s="2" t="s">
        <v>441</v>
      </c>
      <c r="F266" s="2" t="s">
        <v>287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2" t="s">
        <v>51</v>
      </c>
      <c r="B267" s="3" t="s">
        <v>442</v>
      </c>
      <c r="C267" s="2" t="str">
        <f>INDEX(รายการสาร!$B:$B,MATCH($B267,รายการสาร!$A:$A,0))</f>
        <v>RBS AM 35 MD</v>
      </c>
      <c r="D267" s="2" t="str">
        <f>INDEX(รายการสาร!$C:$C,MATCH($B267,รายการสาร!$A:$A,0))</f>
        <v>RBS AM 35 MD</v>
      </c>
      <c r="E267" s="2" t="s">
        <v>443</v>
      </c>
      <c r="F267" s="2" t="s">
        <v>122</v>
      </c>
      <c r="G267" s="3"/>
      <c r="H267" s="3"/>
      <c r="I267" s="3"/>
      <c r="J267" s="3" t="s">
        <v>23</v>
      </c>
      <c r="K267" s="3"/>
      <c r="L267" s="3"/>
      <c r="M267" s="3"/>
      <c r="N267" s="3"/>
      <c r="O267" s="3" t="s">
        <v>23</v>
      </c>
      <c r="P267" s="3"/>
      <c r="Q267" s="3" t="s">
        <v>23</v>
      </c>
      <c r="R267" s="3"/>
      <c r="S267" s="3"/>
      <c r="T267" s="3"/>
      <c r="U267" s="3"/>
      <c r="V267" s="3" t="s">
        <v>23</v>
      </c>
      <c r="W267" s="3"/>
    </row>
    <row r="268" spans="1:23" x14ac:dyDescent="0.25">
      <c r="A268" s="2" t="s">
        <v>51</v>
      </c>
      <c r="B268" s="3" t="s">
        <v>57</v>
      </c>
      <c r="C268" s="2" t="str">
        <f>INDEX(รายการสาร!$B:$B,MATCH($B268,รายการสาร!$A:$A,0))</f>
        <v>Q-bac4 soap liquid</v>
      </c>
      <c r="D268" s="2" t="str">
        <f>INDEX(รายการสาร!$C:$C,MATCH($B268,รายการสาร!$A:$A,0))</f>
        <v>Q-bac4</v>
      </c>
      <c r="E268" s="2" t="s">
        <v>128</v>
      </c>
      <c r="F268" s="2" t="s">
        <v>117</v>
      </c>
      <c r="G268" s="3"/>
      <c r="H268" s="3"/>
      <c r="I268" s="3"/>
      <c r="J268" s="3"/>
      <c r="K268" s="3"/>
      <c r="L268" s="3"/>
      <c r="M268" s="3"/>
      <c r="N268" s="3"/>
      <c r="O268" s="3" t="s">
        <v>23</v>
      </c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2" t="s">
        <v>51</v>
      </c>
      <c r="B269" s="3" t="s">
        <v>20</v>
      </c>
      <c r="C269" s="2" t="str">
        <f>INDEX(รายการสาร!$B:$B,MATCH($B269,รายการสาร!$A:$A,0))</f>
        <v>คิมแคร์สบู่เหลวล้างมือ</v>
      </c>
      <c r="D269" s="2" t="str">
        <f>INDEX(รายการสาร!$C:$C,MATCH($B269,รายการสาร!$A:$A,0))</f>
        <v>Kimcare</v>
      </c>
      <c r="E269" s="2" t="s">
        <v>444</v>
      </c>
      <c r="F269" s="2" t="s">
        <v>117</v>
      </c>
      <c r="G269" s="3"/>
      <c r="H269" s="3"/>
      <c r="I269" s="3"/>
      <c r="J269" s="3"/>
      <c r="K269" s="3"/>
      <c r="L269" s="3"/>
      <c r="M269" s="3"/>
      <c r="N269" s="3"/>
      <c r="O269" s="3" t="s">
        <v>23</v>
      </c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2" t="s">
        <v>51</v>
      </c>
      <c r="B270" s="3" t="s">
        <v>32</v>
      </c>
      <c r="C270" s="2" t="str">
        <f>INDEX(รายการสาร!$B:$B,MATCH($B270,รายการสาร!$A:$A,0))</f>
        <v>Gel ล้างมือติดผนัง</v>
      </c>
      <c r="D270" s="2" t="str">
        <f>INDEX(รายการสาร!$C:$C,MATCH($B270,รายการสาร!$A:$A,0))</f>
        <v>Purell</v>
      </c>
      <c r="E270" s="2" t="s">
        <v>445</v>
      </c>
      <c r="F270" s="2" t="s">
        <v>129</v>
      </c>
      <c r="G270" s="3"/>
      <c r="H270" s="3" t="s">
        <v>23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 t="s">
        <v>23</v>
      </c>
    </row>
    <row r="271" spans="1:23" x14ac:dyDescent="0.25">
      <c r="A271" s="2" t="s">
        <v>51</v>
      </c>
      <c r="B271" s="3" t="s">
        <v>91</v>
      </c>
      <c r="C271" s="2" t="str">
        <f>INDEX(รายการสาร!$B:$B,MATCH($B271,รายการสาร!$A:$A,0))</f>
        <v>Caviwipe</v>
      </c>
      <c r="D271" s="2" t="str">
        <f>INDEX(รายการสาร!$C:$C,MATCH($B271,รายการสาร!$A:$A,0))</f>
        <v>Caviwipe</v>
      </c>
      <c r="E271" s="2" t="s">
        <v>446</v>
      </c>
      <c r="F271" s="2" t="s">
        <v>122</v>
      </c>
      <c r="G271" s="3"/>
      <c r="H271" s="3"/>
      <c r="I271" s="3"/>
      <c r="J271" s="3"/>
      <c r="K271" s="3" t="s">
        <v>23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2" t="s">
        <v>51</v>
      </c>
      <c r="B272" s="3" t="s">
        <v>447</v>
      </c>
      <c r="C272" s="2" t="str">
        <f>INDEX(รายการสาร!$B:$B,MATCH($B272,รายการสาร!$A:$A,0))</f>
        <v>Safranine</v>
      </c>
      <c r="D272" s="2" t="str">
        <f>INDEX(รายการสาร!$C:$C,MATCH($B272,รายการสาร!$A:$A,0))</f>
        <v>Safranine</v>
      </c>
      <c r="E272" s="2" t="s">
        <v>429</v>
      </c>
      <c r="F272" s="2" t="s">
        <v>122</v>
      </c>
      <c r="G272" s="3"/>
      <c r="H272" s="3"/>
      <c r="I272" s="3"/>
      <c r="J272" s="3"/>
      <c r="K272" s="3"/>
      <c r="L272" s="3"/>
      <c r="M272" s="3" t="s">
        <v>23</v>
      </c>
      <c r="N272" s="3" t="s">
        <v>23</v>
      </c>
      <c r="O272" s="3" t="s">
        <v>23</v>
      </c>
      <c r="P272" s="3"/>
      <c r="Q272" s="3" t="s">
        <v>23</v>
      </c>
      <c r="R272" s="3" t="s">
        <v>23</v>
      </c>
      <c r="S272" s="3" t="s">
        <v>23</v>
      </c>
      <c r="T272" s="3" t="s">
        <v>23</v>
      </c>
      <c r="U272" s="3"/>
      <c r="V272" s="3"/>
      <c r="W272" s="3"/>
    </row>
    <row r="273" spans="1:23" ht="27.6" customHeight="1" x14ac:dyDescent="0.25">
      <c r="A273" s="2" t="s">
        <v>51</v>
      </c>
      <c r="B273" s="3" t="s">
        <v>448</v>
      </c>
      <c r="C273" s="2" t="str">
        <f>INDEX(รายการสาร!$B:$B,MATCH($B273,รายการสาร!$A:$A,0))</f>
        <v>Gram’s stain decolorizer</v>
      </c>
      <c r="D273" s="2" t="str">
        <f>INDEX(รายการสาร!$C:$C,MATCH($B273,รายการสาร!$A:$A,0))</f>
        <v>Gram’s stain decolorizer</v>
      </c>
      <c r="E273" s="2" t="s">
        <v>429</v>
      </c>
      <c r="F273" s="2" t="s">
        <v>122</v>
      </c>
      <c r="G273" s="3"/>
      <c r="H273" s="3"/>
      <c r="I273" s="3"/>
      <c r="J273" s="3"/>
      <c r="K273" s="3"/>
      <c r="L273" s="3"/>
      <c r="M273" s="3" t="s">
        <v>23</v>
      </c>
      <c r="N273" s="3" t="s">
        <v>23</v>
      </c>
      <c r="O273" s="3" t="s">
        <v>23</v>
      </c>
      <c r="P273" s="3"/>
      <c r="Q273" s="3" t="s">
        <v>23</v>
      </c>
      <c r="R273" s="3" t="s">
        <v>23</v>
      </c>
      <c r="S273" s="3" t="s">
        <v>23</v>
      </c>
      <c r="T273" s="3" t="s">
        <v>23</v>
      </c>
      <c r="U273" s="3"/>
      <c r="V273" s="3"/>
      <c r="W273" s="3"/>
    </row>
    <row r="274" spans="1:23" ht="27.6" customHeight="1" x14ac:dyDescent="0.25">
      <c r="A274" s="2" t="s">
        <v>51</v>
      </c>
      <c r="B274" s="3" t="s">
        <v>449</v>
      </c>
      <c r="C274" s="2" t="str">
        <f>INDEX(รายการสาร!$B:$B,MATCH($B274,รายการสาร!$A:$A,0))</f>
        <v>AFB stain washing solution</v>
      </c>
      <c r="D274" s="2" t="str">
        <f>INDEX(รายการสาร!$C:$C,MATCH($B274,รายการสาร!$A:$A,0))</f>
        <v>AFB stain washing solution</v>
      </c>
      <c r="E274" s="2" t="s">
        <v>429</v>
      </c>
      <c r="F274" s="2" t="s">
        <v>122</v>
      </c>
      <c r="G274" s="3"/>
      <c r="H274" s="3"/>
      <c r="I274" s="3"/>
      <c r="J274" s="3"/>
      <c r="K274" s="3"/>
      <c r="L274" s="3"/>
      <c r="M274" s="3" t="s">
        <v>23</v>
      </c>
      <c r="N274" s="3" t="s">
        <v>23</v>
      </c>
      <c r="O274" s="3" t="s">
        <v>23</v>
      </c>
      <c r="P274" s="3"/>
      <c r="Q274" s="3" t="s">
        <v>23</v>
      </c>
      <c r="R274" s="3" t="s">
        <v>23</v>
      </c>
      <c r="S274" s="3" t="s">
        <v>23</v>
      </c>
      <c r="T274" s="3" t="s">
        <v>23</v>
      </c>
      <c r="U274" s="3"/>
      <c r="V274" s="3"/>
      <c r="W274" s="3"/>
    </row>
    <row r="275" spans="1:23" ht="27.6" customHeight="1" x14ac:dyDescent="0.25">
      <c r="A275" s="2" t="s">
        <v>51</v>
      </c>
      <c r="B275" s="3" t="s">
        <v>450</v>
      </c>
      <c r="C275" s="2" t="str">
        <f>INDEX(รายการสาร!$B:$B,MATCH($B275,รายการสาร!$A:$A,0))</f>
        <v>Wright's- Giema A solution</v>
      </c>
      <c r="D275" s="2" t="str">
        <f>INDEX(รายการสาร!$C:$C,MATCH($B275,รายการสาร!$A:$A,0))</f>
        <v>Wright's- Giema A solution</v>
      </c>
      <c r="E275" s="2"/>
      <c r="F275" s="2" t="s">
        <v>122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7.6" customHeight="1" x14ac:dyDescent="0.25">
      <c r="A276" s="2" t="s">
        <v>51</v>
      </c>
      <c r="B276" s="3" t="s">
        <v>451</v>
      </c>
      <c r="C276" s="2" t="str">
        <f>INDEX(รายการสาร!$B:$B,MATCH($B276,รายการสาร!$A:$A,0))</f>
        <v>Wright's- Giema B buffer</v>
      </c>
      <c r="D276" s="2" t="str">
        <f>INDEX(รายการสาร!$C:$C,MATCH($B276,รายการสาร!$A:$A,0))</f>
        <v>Wright's- Giema B buffer</v>
      </c>
      <c r="E276" s="2"/>
      <c r="F276" s="2" t="s">
        <v>122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41.4" customHeight="1" x14ac:dyDescent="0.25">
      <c r="A277" s="2" t="s">
        <v>51</v>
      </c>
      <c r="B277" s="3" t="s">
        <v>48</v>
      </c>
      <c r="C277" s="2" t="str">
        <f>INDEX(รายการสาร!$B:$B,MATCH($B277,รายการสาร!$A:$A,0))</f>
        <v>N-Alkyl Dimethylbenzene Ammonium chloride, Tetrasodium Salt of EDTA, Didecyl Dimethyl Ammonium chloride</v>
      </c>
      <c r="D277" s="2" t="str">
        <f>INDEX(รายการสาร!$C:$C,MATCH($B277,รายการสาร!$A:$A,0))</f>
        <v>Virex II 256 (ไวเร็กซ์ II 256)</v>
      </c>
      <c r="E277" s="2" t="s">
        <v>157</v>
      </c>
      <c r="F277" s="2" t="s">
        <v>252</v>
      </c>
      <c r="G277" s="3"/>
      <c r="H277" s="3"/>
      <c r="I277" s="3"/>
      <c r="J277" s="3" t="s">
        <v>23</v>
      </c>
      <c r="K277" s="3" t="s">
        <v>23</v>
      </c>
      <c r="L277" s="3"/>
      <c r="M277" s="3"/>
      <c r="N277" s="3"/>
      <c r="O277" s="3"/>
      <c r="P277" s="3"/>
      <c r="Q277" s="3" t="s">
        <v>23</v>
      </c>
      <c r="R277" s="3" t="s">
        <v>23</v>
      </c>
      <c r="S277" s="3" t="s">
        <v>23</v>
      </c>
      <c r="T277" s="3" t="s">
        <v>23</v>
      </c>
      <c r="U277" s="3"/>
      <c r="V277" s="3" t="s">
        <v>23</v>
      </c>
      <c r="W277" s="3"/>
    </row>
    <row r="278" spans="1:23" x14ac:dyDescent="0.25">
      <c r="A278" s="2" t="s">
        <v>51</v>
      </c>
      <c r="B278" s="3" t="s">
        <v>452</v>
      </c>
      <c r="C278" s="2" t="str">
        <f>INDEX(รายการสาร!$B:$B,MATCH($B278,รายการสาร!$A:$A,0))</f>
        <v>5%NaOCl</v>
      </c>
      <c r="D278" s="2" t="str">
        <f>INDEX(รายการสาร!$C:$C,MATCH($B278,รายการสาร!$A:$A,0))</f>
        <v>Chlorex-He</v>
      </c>
      <c r="E278" s="2" t="s">
        <v>148</v>
      </c>
      <c r="F278" s="2" t="s">
        <v>122</v>
      </c>
      <c r="G278" s="3"/>
      <c r="H278" s="3"/>
      <c r="I278" s="3"/>
      <c r="J278" s="3"/>
      <c r="K278" s="3" t="s">
        <v>23</v>
      </c>
      <c r="L278" s="3"/>
      <c r="M278" s="3"/>
      <c r="N278" s="3"/>
      <c r="O278" s="3"/>
      <c r="P278" s="3"/>
      <c r="Q278" s="3" t="s">
        <v>23</v>
      </c>
      <c r="R278" s="3" t="s">
        <v>23</v>
      </c>
      <c r="S278" s="3" t="s">
        <v>23</v>
      </c>
      <c r="T278" s="3" t="s">
        <v>23</v>
      </c>
      <c r="U278" s="3"/>
      <c r="V278" s="3"/>
      <c r="W278" s="3"/>
    </row>
    <row r="279" spans="1:23" x14ac:dyDescent="0.25">
      <c r="A279" s="2" t="s">
        <v>51</v>
      </c>
      <c r="B279" s="3" t="s">
        <v>453</v>
      </c>
      <c r="C279" s="2" t="str">
        <f>INDEX(รายการสาร!$B:$B,MATCH($B279,รายการสาร!$A:$A,0))</f>
        <v>DCL Cellpack</v>
      </c>
      <c r="D279" s="2" t="str">
        <f>INDEX(รายการสาร!$C:$C,MATCH($B279,รายการสาร!$A:$A,0))</f>
        <v>DCL Cellpack</v>
      </c>
      <c r="E279" s="2" t="s">
        <v>446</v>
      </c>
      <c r="F279" s="2" t="s">
        <v>454</v>
      </c>
      <c r="G279" s="3"/>
      <c r="H279" s="3"/>
      <c r="I279" s="3"/>
      <c r="J279" s="3"/>
      <c r="K279" s="3"/>
      <c r="L279" s="3"/>
      <c r="M279" s="3"/>
      <c r="N279" s="3"/>
      <c r="O279" s="3" t="s">
        <v>23</v>
      </c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2" t="s">
        <v>51</v>
      </c>
      <c r="B280" s="3" t="s">
        <v>455</v>
      </c>
      <c r="C280" s="2" t="str">
        <f>INDEX(รายการสาร!$B:$B,MATCH($B280,รายการสาร!$A:$A,0))</f>
        <v>CellShealth</v>
      </c>
      <c r="D280" s="2" t="str">
        <f>INDEX(รายการสาร!$C:$C,MATCH($B280,รายการสาร!$A:$A,0))</f>
        <v>CellShealth</v>
      </c>
      <c r="E280" s="2" t="s">
        <v>446</v>
      </c>
      <c r="F280" s="2" t="s">
        <v>454</v>
      </c>
      <c r="G280" s="3"/>
      <c r="H280" s="3"/>
      <c r="I280" s="3"/>
      <c r="J280" s="3"/>
      <c r="K280" s="3"/>
      <c r="L280" s="3"/>
      <c r="M280" s="3"/>
      <c r="N280" s="3"/>
      <c r="O280" s="3" t="s">
        <v>23</v>
      </c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2" t="s">
        <v>51</v>
      </c>
      <c r="B281" s="3" t="s">
        <v>456</v>
      </c>
      <c r="C281" s="2" t="str">
        <f>INDEX(รายการสาร!$B:$B,MATCH($B281,รายการสาร!$A:$A,0))</f>
        <v>FluoroWDF</v>
      </c>
      <c r="D281" s="2" t="str">
        <f>INDEX(รายการสาร!$C:$C,MATCH($B281,รายการสาร!$A:$A,0))</f>
        <v>FluoroWDF</v>
      </c>
      <c r="E281" s="2" t="s">
        <v>457</v>
      </c>
      <c r="F281" s="2" t="s">
        <v>122</v>
      </c>
      <c r="G281" s="3"/>
      <c r="H281" s="3"/>
      <c r="I281" s="3"/>
      <c r="J281" s="3"/>
      <c r="K281" s="3"/>
      <c r="L281" s="3"/>
      <c r="M281" s="3"/>
      <c r="N281" s="3"/>
      <c r="O281" s="3" t="s">
        <v>23</v>
      </c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2" t="s">
        <v>51</v>
      </c>
      <c r="B282" s="3" t="s">
        <v>458</v>
      </c>
      <c r="C282" s="2" t="str">
        <f>INDEX(รายการสาร!$B:$B,MATCH($B282,รายการสาร!$A:$A,0))</f>
        <v>FluoroWNR</v>
      </c>
      <c r="D282" s="2" t="str">
        <f>INDEX(รายการสาร!$C:$C,MATCH($B282,รายการสาร!$A:$A,0))</f>
        <v>FluoroWNR</v>
      </c>
      <c r="E282" s="2" t="s">
        <v>457</v>
      </c>
      <c r="F282" s="2" t="s">
        <v>122</v>
      </c>
      <c r="G282" s="3"/>
      <c r="H282" s="3"/>
      <c r="I282" s="3"/>
      <c r="J282" s="3"/>
      <c r="K282" s="3"/>
      <c r="L282" s="3"/>
      <c r="M282" s="3"/>
      <c r="N282" s="3"/>
      <c r="O282" s="3" t="s">
        <v>23</v>
      </c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2" t="s">
        <v>51</v>
      </c>
      <c r="B283" s="3" t="s">
        <v>459</v>
      </c>
      <c r="C283" s="2" t="str">
        <f>INDEX(รายการสาร!$B:$B,MATCH($B283,รายการสาร!$A:$A,0))</f>
        <v>Lysercell WDF</v>
      </c>
      <c r="D283" s="2" t="str">
        <f>INDEX(รายการสาร!$C:$C,MATCH($B283,รายการสาร!$A:$A,0))</f>
        <v>Lysercell WDF</v>
      </c>
      <c r="E283" s="2" t="s">
        <v>460</v>
      </c>
      <c r="F283" s="2" t="s">
        <v>454</v>
      </c>
      <c r="G283" s="3"/>
      <c r="H283" s="3"/>
      <c r="I283" s="3"/>
      <c r="J283" s="3"/>
      <c r="K283" s="3"/>
      <c r="L283" s="3"/>
      <c r="M283" s="3"/>
      <c r="N283" s="3"/>
      <c r="O283" s="3" t="s">
        <v>23</v>
      </c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2" t="s">
        <v>51</v>
      </c>
      <c r="B284" s="3" t="s">
        <v>461</v>
      </c>
      <c r="C284" s="2" t="str">
        <f>INDEX(รายการสาร!$B:$B,MATCH($B284,รายการสาร!$A:$A,0))</f>
        <v>LyscercellWNR</v>
      </c>
      <c r="D284" s="2" t="str">
        <f>INDEX(รายการสาร!$C:$C,MATCH($B284,รายการสาร!$A:$A,0))</f>
        <v>LyscercellWNR</v>
      </c>
      <c r="E284" s="2" t="s">
        <v>460</v>
      </c>
      <c r="F284" s="2" t="s">
        <v>454</v>
      </c>
      <c r="G284" s="3"/>
      <c r="H284" s="3"/>
      <c r="I284" s="3"/>
      <c r="J284" s="3"/>
      <c r="K284" s="3"/>
      <c r="L284" s="3"/>
      <c r="M284" s="3"/>
      <c r="N284" s="3"/>
      <c r="O284" s="3" t="s">
        <v>23</v>
      </c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2" t="s">
        <v>51</v>
      </c>
      <c r="B285" s="3" t="s">
        <v>462</v>
      </c>
      <c r="C285" s="2" t="str">
        <f>INDEX(รายการสาร!$B:$B,MATCH($B285,รายการสาร!$A:$A,0))</f>
        <v>5%NaOCl</v>
      </c>
      <c r="D285" s="2" t="str">
        <f>INDEX(รายการสาร!$C:$C,MATCH($B285,รายการสาร!$A:$A,0))</f>
        <v>CellClean Auto</v>
      </c>
      <c r="E285" s="2" t="s">
        <v>463</v>
      </c>
      <c r="F285" s="2" t="s">
        <v>122</v>
      </c>
      <c r="G285" s="3"/>
      <c r="H285" s="3"/>
      <c r="I285" s="3"/>
      <c r="J285" s="3"/>
      <c r="K285" s="3"/>
      <c r="L285" s="3"/>
      <c r="M285" s="3"/>
      <c r="N285" s="3"/>
      <c r="O285" s="3" t="s">
        <v>23</v>
      </c>
      <c r="P285" s="3"/>
      <c r="Q285" s="3" t="s">
        <v>23</v>
      </c>
      <c r="R285" s="3"/>
      <c r="S285" s="3"/>
      <c r="T285" s="3"/>
      <c r="U285" s="3"/>
      <c r="V285" s="3"/>
      <c r="W285" s="3"/>
    </row>
    <row r="286" spans="1:23" x14ac:dyDescent="0.25">
      <c r="A286" s="2" t="s">
        <v>51</v>
      </c>
      <c r="B286" s="3" t="s">
        <v>464</v>
      </c>
      <c r="C286" s="2" t="str">
        <f>INDEX(รายการสาร!$B:$B,MATCH($B286,รายการสาร!$A:$A,0))</f>
        <v>Sulfolyser</v>
      </c>
      <c r="D286" s="2" t="str">
        <f>INDEX(รายการสาร!$C:$C,MATCH($B286,รายการสาร!$A:$A,0))</f>
        <v>Sulfolyser</v>
      </c>
      <c r="E286" s="2" t="s">
        <v>465</v>
      </c>
      <c r="F286" s="2" t="s">
        <v>454</v>
      </c>
      <c r="G286" s="3"/>
      <c r="H286" s="3"/>
      <c r="I286" s="3"/>
      <c r="J286" s="3"/>
      <c r="K286" s="3"/>
      <c r="L286" s="3"/>
      <c r="M286" s="3"/>
      <c r="N286" s="3"/>
      <c r="O286" s="3" t="s">
        <v>23</v>
      </c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2" t="s">
        <v>51</v>
      </c>
      <c r="B287" s="3" t="s">
        <v>466</v>
      </c>
      <c r="C287" s="2" t="str">
        <f>INDEX(รายการสาร!$B:$B,MATCH($B287,รายการสาร!$A:$A,0))</f>
        <v>Detergen A</v>
      </c>
      <c r="D287" s="2" t="str">
        <f>INDEX(รายการสาร!$C:$C,MATCH($B287,รายการสาร!$A:$A,0))</f>
        <v>Detergen A</v>
      </c>
      <c r="E287" s="2" t="s">
        <v>467</v>
      </c>
      <c r="F287" s="2" t="s">
        <v>454</v>
      </c>
      <c r="G287" s="3"/>
      <c r="H287" s="3"/>
      <c r="I287" s="3"/>
      <c r="J287" s="3"/>
      <c r="K287" s="3"/>
      <c r="L287" s="3"/>
      <c r="M287" s="3"/>
      <c r="N287" s="3"/>
      <c r="O287" s="3" t="s">
        <v>23</v>
      </c>
      <c r="P287" s="3"/>
      <c r="Q287" s="3" t="s">
        <v>23</v>
      </c>
      <c r="R287" s="3"/>
      <c r="S287" s="3"/>
      <c r="T287" s="3"/>
      <c r="U287" s="3"/>
      <c r="V287" s="3"/>
      <c r="W287" s="3"/>
    </row>
    <row r="288" spans="1:23" x14ac:dyDescent="0.25">
      <c r="A288" s="2" t="s">
        <v>51</v>
      </c>
      <c r="B288" s="3" t="s">
        <v>468</v>
      </c>
      <c r="C288" s="2" t="str">
        <f>INDEX(รายการสาร!$B:$B,MATCH($B288,รายการสาร!$A:$A,0))</f>
        <v>Detergen B</v>
      </c>
      <c r="D288" s="2" t="str">
        <f>INDEX(รายการสาร!$C:$C,MATCH($B288,รายการสาร!$A:$A,0))</f>
        <v>Detergen B</v>
      </c>
      <c r="E288" s="2" t="s">
        <v>467</v>
      </c>
      <c r="F288" s="2" t="s">
        <v>454</v>
      </c>
      <c r="G288" s="3"/>
      <c r="H288" s="3"/>
      <c r="I288" s="3"/>
      <c r="J288" s="3"/>
      <c r="K288" s="3"/>
      <c r="L288" s="3"/>
      <c r="M288" s="3"/>
      <c r="N288" s="3"/>
      <c r="O288" s="3" t="s">
        <v>23</v>
      </c>
      <c r="P288" s="3"/>
      <c r="Q288" s="3" t="s">
        <v>23</v>
      </c>
      <c r="R288" s="3"/>
      <c r="S288" s="3"/>
      <c r="T288" s="3"/>
      <c r="U288" s="3"/>
      <c r="V288" s="3"/>
      <c r="W288" s="3"/>
    </row>
    <row r="289" spans="1:23" x14ac:dyDescent="0.25">
      <c r="A289" s="2" t="s">
        <v>51</v>
      </c>
      <c r="B289" s="3" t="s">
        <v>469</v>
      </c>
      <c r="C289" s="2" t="str">
        <f>INDEX(รายการสาร!$B:$B,MATCH($B289,รายการสาร!$A:$A,0))</f>
        <v>Probe condition</v>
      </c>
      <c r="D289" s="2" t="str">
        <f>INDEX(รายการสาร!$C:$C,MATCH($B289,รายการสาร!$A:$A,0))</f>
        <v>Probe condition</v>
      </c>
      <c r="E289" s="2" t="s">
        <v>470</v>
      </c>
      <c r="F289" s="2" t="s">
        <v>122</v>
      </c>
      <c r="G289" s="3"/>
      <c r="H289" s="3"/>
      <c r="I289" s="3"/>
      <c r="J289" s="3"/>
      <c r="K289" s="3" t="s">
        <v>23</v>
      </c>
      <c r="L289" s="3"/>
      <c r="M289" s="3"/>
      <c r="N289" s="3"/>
      <c r="O289" s="3" t="s">
        <v>23</v>
      </c>
      <c r="P289" s="3"/>
      <c r="Q289" s="3" t="s">
        <v>23</v>
      </c>
      <c r="R289" s="3"/>
      <c r="S289" s="3"/>
      <c r="T289" s="3"/>
      <c r="U289" s="3"/>
      <c r="V289" s="3"/>
      <c r="W289" s="3"/>
    </row>
    <row r="290" spans="1:23" ht="27.6" customHeight="1" x14ac:dyDescent="0.25">
      <c r="A290" s="2" t="s">
        <v>51</v>
      </c>
      <c r="B290" s="3" t="s">
        <v>471</v>
      </c>
      <c r="C290" s="2" t="str">
        <f>INDEX(รายการสาร!$B:$B,MATCH($B290,รายการสาร!$A:$A,0))</f>
        <v>Conc Wash Buffer</v>
      </c>
      <c r="D290" s="2" t="str">
        <f>INDEX(รายการสาร!$C:$C,MATCH($B290,รายการสาร!$A:$A,0))</f>
        <v>Conc Wash Buffer</v>
      </c>
      <c r="E290" s="2" t="s">
        <v>472</v>
      </c>
      <c r="F290" s="2" t="s">
        <v>454</v>
      </c>
      <c r="G290" s="3"/>
      <c r="H290" s="3"/>
      <c r="I290" s="3"/>
      <c r="J290" s="3"/>
      <c r="K290" s="3" t="s">
        <v>23</v>
      </c>
      <c r="L290" s="3"/>
      <c r="M290" s="3"/>
      <c r="N290" s="3"/>
      <c r="O290" s="3" t="s">
        <v>23</v>
      </c>
      <c r="P290" s="3"/>
      <c r="Q290" s="3" t="s">
        <v>23</v>
      </c>
      <c r="R290" s="3"/>
      <c r="S290" s="3"/>
      <c r="T290" s="3"/>
      <c r="U290" s="3"/>
      <c r="V290" s="3"/>
      <c r="W290" s="3"/>
    </row>
    <row r="291" spans="1:23" x14ac:dyDescent="0.25">
      <c r="A291" s="2" t="s">
        <v>51</v>
      </c>
      <c r="B291" s="3" t="s">
        <v>473</v>
      </c>
      <c r="C291" s="2" t="str">
        <f>INDEX(รายการสาร!$B:$B,MATCH($B291,รายการสาร!$A:$A,0))</f>
        <v>ARC Triger</v>
      </c>
      <c r="D291" s="2" t="str">
        <f>INDEX(รายการสาร!$C:$C,MATCH($B291,รายการสาร!$A:$A,0))</f>
        <v>ARC Triger</v>
      </c>
      <c r="E291" s="2" t="s">
        <v>446</v>
      </c>
      <c r="F291" s="2" t="s">
        <v>454</v>
      </c>
      <c r="G291" s="3"/>
      <c r="H291" s="3"/>
      <c r="I291" s="3"/>
      <c r="J291" s="3"/>
      <c r="K291" s="3" t="s">
        <v>23</v>
      </c>
      <c r="L291" s="3"/>
      <c r="M291" s="3" t="s">
        <v>23</v>
      </c>
      <c r="N291" s="3"/>
      <c r="O291" s="3" t="s">
        <v>23</v>
      </c>
      <c r="P291" s="3"/>
      <c r="Q291" s="3" t="s">
        <v>23</v>
      </c>
      <c r="R291" s="3"/>
      <c r="S291" s="3"/>
      <c r="T291" s="3"/>
      <c r="U291" s="3"/>
      <c r="V291" s="3"/>
      <c r="W291" s="3"/>
    </row>
    <row r="292" spans="1:23" x14ac:dyDescent="0.25">
      <c r="A292" s="2" t="s">
        <v>51</v>
      </c>
      <c r="B292" s="3" t="s">
        <v>474</v>
      </c>
      <c r="C292" s="2" t="str">
        <f>INDEX(รายการสาร!$B:$B,MATCH($B292,รายการสาร!$A:$A,0))</f>
        <v>ARC Pre-Triger</v>
      </c>
      <c r="D292" s="2" t="str">
        <f>INDEX(รายการสาร!$C:$C,MATCH($B292,รายการสาร!$A:$A,0))</f>
        <v>ARC Pre-Triger</v>
      </c>
      <c r="E292" s="2" t="s">
        <v>446</v>
      </c>
      <c r="F292" s="2" t="s">
        <v>454</v>
      </c>
      <c r="G292" s="3"/>
      <c r="H292" s="3"/>
      <c r="I292" s="3"/>
      <c r="J292" s="3"/>
      <c r="K292" s="3" t="s">
        <v>23</v>
      </c>
      <c r="L292" s="3"/>
      <c r="M292" s="3"/>
      <c r="N292" s="3"/>
      <c r="O292" s="3" t="s">
        <v>23</v>
      </c>
      <c r="P292" s="3"/>
      <c r="Q292" s="3" t="s">
        <v>23</v>
      </c>
      <c r="R292" s="3"/>
      <c r="S292" s="3"/>
      <c r="T292" s="3"/>
      <c r="U292" s="3"/>
      <c r="V292" s="3"/>
      <c r="W292" s="3"/>
    </row>
    <row r="293" spans="1:23" ht="27.6" customHeight="1" x14ac:dyDescent="0.25">
      <c r="A293" s="2" t="s">
        <v>51</v>
      </c>
      <c r="B293" s="3" t="s">
        <v>475</v>
      </c>
      <c r="C293" s="2" t="str">
        <f>INDEX(รายการสาร!$B:$B,MATCH($B293,รายการสาร!$A:$A,0))</f>
        <v>Water Bath Additive</v>
      </c>
      <c r="D293" s="2" t="str">
        <f>INDEX(รายการสาร!$C:$C,MATCH($B293,รายการสาร!$A:$A,0))</f>
        <v>Water Bath Additive</v>
      </c>
      <c r="E293" s="2" t="s">
        <v>476</v>
      </c>
      <c r="F293" s="2" t="s">
        <v>454</v>
      </c>
      <c r="G293" s="3"/>
      <c r="H293" s="3"/>
      <c r="I293" s="3"/>
      <c r="J293" s="3"/>
      <c r="K293" s="3" t="s">
        <v>23</v>
      </c>
      <c r="L293" s="3"/>
      <c r="M293" s="3"/>
      <c r="N293" s="3"/>
      <c r="O293" s="3" t="s">
        <v>23</v>
      </c>
      <c r="P293" s="3"/>
      <c r="Q293" s="3" t="s">
        <v>23</v>
      </c>
      <c r="R293" s="3"/>
      <c r="S293" s="3"/>
      <c r="T293" s="3"/>
      <c r="U293" s="3"/>
      <c r="V293" s="3"/>
      <c r="W293" s="3"/>
    </row>
    <row r="294" spans="1:23" ht="27.6" customHeight="1" x14ac:dyDescent="0.25">
      <c r="A294" s="2" t="s">
        <v>51</v>
      </c>
      <c r="B294" s="3" t="s">
        <v>477</v>
      </c>
      <c r="C294" s="2" t="str">
        <f>INDEX(รายการสาร!$B:$B,MATCH($B294,รายการสาร!$A:$A,0))</f>
        <v>Alkaline wash Solution</v>
      </c>
      <c r="D294" s="2" t="str">
        <f>INDEX(รายการสาร!$C:$C,MATCH($B294,รายการสาร!$A:$A,0))</f>
        <v>Alkaline wash Solution</v>
      </c>
      <c r="E294" s="2" t="s">
        <v>446</v>
      </c>
      <c r="F294" s="2" t="s">
        <v>454</v>
      </c>
      <c r="G294" s="3"/>
      <c r="H294" s="3"/>
      <c r="I294" s="3"/>
      <c r="J294" s="3"/>
      <c r="K294" s="3" t="s">
        <v>23</v>
      </c>
      <c r="L294" s="3"/>
      <c r="M294" s="3"/>
      <c r="N294" s="3"/>
      <c r="O294" s="3" t="s">
        <v>23</v>
      </c>
      <c r="P294" s="3"/>
      <c r="Q294" s="3" t="s">
        <v>23</v>
      </c>
      <c r="R294" s="3"/>
      <c r="S294" s="3"/>
      <c r="T294" s="3"/>
      <c r="U294" s="3"/>
      <c r="V294" s="3"/>
      <c r="W294" s="3"/>
    </row>
    <row r="295" spans="1:23" x14ac:dyDescent="0.25">
      <c r="A295" s="2" t="s">
        <v>51</v>
      </c>
      <c r="B295" s="3" t="s">
        <v>478</v>
      </c>
      <c r="C295" s="2" t="str">
        <f>INDEX(รายการสาร!$B:$B,MATCH($B295,รายการสาร!$A:$A,0))</f>
        <v>Acid Wash</v>
      </c>
      <c r="D295" s="2" t="str">
        <f>INDEX(รายการสาร!$C:$C,MATCH($B295,รายการสาร!$A:$A,0))</f>
        <v>Acid Wash</v>
      </c>
      <c r="E295" s="2" t="s">
        <v>446</v>
      </c>
      <c r="F295" s="2" t="s">
        <v>454</v>
      </c>
      <c r="G295" s="3"/>
      <c r="H295" s="3"/>
      <c r="I295" s="3"/>
      <c r="J295" s="3"/>
      <c r="K295" s="3" t="s">
        <v>23</v>
      </c>
      <c r="L295" s="3"/>
      <c r="M295" s="3"/>
      <c r="N295" s="3"/>
      <c r="O295" s="3" t="s">
        <v>23</v>
      </c>
      <c r="P295" s="3"/>
      <c r="Q295" s="3" t="s">
        <v>23</v>
      </c>
      <c r="R295" s="3"/>
      <c r="S295" s="3"/>
      <c r="T295" s="3"/>
      <c r="U295" s="3"/>
      <c r="V295" s="3"/>
      <c r="W295" s="3"/>
    </row>
    <row r="296" spans="1:23" ht="27.6" customHeight="1" x14ac:dyDescent="0.25">
      <c r="A296" s="2" t="s">
        <v>51</v>
      </c>
      <c r="B296" s="3" t="s">
        <v>479</v>
      </c>
      <c r="C296" s="2" t="str">
        <f>INDEX(รายการสาร!$B:$B,MATCH($B296,รายการสาร!$A:$A,0))</f>
        <v>Histopot Thinprep</v>
      </c>
      <c r="D296" s="2" t="str">
        <f>INDEX(รายการสาร!$C:$C,MATCH($B296,รายการสาร!$A:$A,0))</f>
        <v>Methanol-water sol</v>
      </c>
      <c r="E296" s="2" t="s">
        <v>480</v>
      </c>
      <c r="F296" s="2" t="s">
        <v>454</v>
      </c>
      <c r="G296" s="3"/>
      <c r="H296" s="3" t="s">
        <v>23</v>
      </c>
      <c r="I296" s="3"/>
      <c r="J296" s="3"/>
      <c r="K296" s="3"/>
      <c r="L296" s="3"/>
      <c r="M296" s="3"/>
      <c r="N296" s="3"/>
      <c r="O296" s="3"/>
      <c r="P296" s="3"/>
      <c r="Q296" s="3" t="s">
        <v>23</v>
      </c>
      <c r="R296" s="3"/>
      <c r="S296" s="3"/>
      <c r="T296" s="3"/>
      <c r="U296" s="3"/>
      <c r="V296" s="3"/>
      <c r="W296" s="3" t="s">
        <v>23</v>
      </c>
    </row>
    <row r="297" spans="1:23" ht="41.4" customHeight="1" x14ac:dyDescent="0.25">
      <c r="A297" s="2" t="s">
        <v>39</v>
      </c>
      <c r="B297" s="3" t="s">
        <v>481</v>
      </c>
      <c r="C297" s="2" t="str">
        <f>INDEX(รายการสาร!$B:$B,MATCH($B297,รายการสาร!$A:$A,0))</f>
        <v>Xyclocain 4%+Ephedrine2% Solution</v>
      </c>
      <c r="D297" s="2" t="str">
        <f>INDEX(รายการสาร!$C:$C,MATCH($B297,รายการสาร!$A:$A,0))</f>
        <v>4% Lidocaune +0.05% Oxymetazoline</v>
      </c>
      <c r="E297" s="2" t="s">
        <v>482</v>
      </c>
      <c r="F297" s="2" t="s">
        <v>122</v>
      </c>
      <c r="G297" s="3"/>
      <c r="H297" s="3" t="s">
        <v>23</v>
      </c>
      <c r="I297" s="3"/>
      <c r="J297" s="3" t="s">
        <v>23</v>
      </c>
      <c r="K297" s="3"/>
      <c r="L297" s="3"/>
      <c r="M297" s="3" t="s">
        <v>23</v>
      </c>
      <c r="N297" s="3"/>
      <c r="O297" s="3"/>
      <c r="P297" s="3"/>
      <c r="Q297" s="3" t="s">
        <v>23</v>
      </c>
      <c r="R297" s="3" t="s">
        <v>23</v>
      </c>
      <c r="S297" s="3" t="s">
        <v>23</v>
      </c>
      <c r="T297" s="3" t="s">
        <v>23</v>
      </c>
      <c r="U297" s="3"/>
      <c r="V297" s="3"/>
      <c r="W297" s="3" t="s">
        <v>23</v>
      </c>
    </row>
    <row r="298" spans="1:23" ht="27.6" customHeight="1" x14ac:dyDescent="0.25">
      <c r="A298" s="2" t="s">
        <v>39</v>
      </c>
      <c r="B298" s="3" t="s">
        <v>80</v>
      </c>
      <c r="C298" s="2" t="str">
        <f>INDEX(รายการสาร!$B:$B,MATCH($B298,รายการสาร!$A:$A,0))</f>
        <v>Hydrogen peroxide</v>
      </c>
      <c r="D298" s="2" t="str">
        <f>INDEX(รายการสาร!$C:$C,MATCH($B298,รายการสาร!$A:$A,0))</f>
        <v>Hydrogen peroxide</v>
      </c>
      <c r="E298" s="2" t="s">
        <v>483</v>
      </c>
      <c r="F298" s="2" t="s">
        <v>122</v>
      </c>
      <c r="G298" s="3" t="s">
        <v>23</v>
      </c>
      <c r="H298" s="3"/>
      <c r="I298" s="3"/>
      <c r="J298" s="3"/>
      <c r="K298" s="3" t="s">
        <v>23</v>
      </c>
      <c r="L298" s="3"/>
      <c r="M298" s="3"/>
      <c r="N298" s="3"/>
      <c r="O298" s="3"/>
      <c r="P298" s="3"/>
      <c r="Q298" s="3" t="s">
        <v>23</v>
      </c>
      <c r="R298" s="3"/>
      <c r="S298" s="3"/>
      <c r="T298" s="3"/>
      <c r="U298" s="3"/>
      <c r="V298" s="3"/>
      <c r="W298" s="3"/>
    </row>
    <row r="299" spans="1:23" x14ac:dyDescent="0.25">
      <c r="A299" s="2" t="s">
        <v>39</v>
      </c>
      <c r="B299" s="3" t="s">
        <v>484</v>
      </c>
      <c r="C299" s="2" t="str">
        <f>INDEX(รายการสาร!$B:$B,MATCH($B299,รายการสาร!$A:$A,0))</f>
        <v>ProEZ AW Quad</v>
      </c>
      <c r="D299" s="2" t="str">
        <f>INDEX(รายการสาร!$C:$C,MATCH($B299,รายการสาร!$A:$A,0))</f>
        <v>ProEZ AW Quad</v>
      </c>
      <c r="E299" s="2" t="s">
        <v>485</v>
      </c>
      <c r="F299" s="2" t="s">
        <v>122</v>
      </c>
      <c r="G299" s="3"/>
      <c r="H299" s="3"/>
      <c r="I299" s="3"/>
      <c r="J299" s="3"/>
      <c r="K299" s="3"/>
      <c r="L299" s="3"/>
      <c r="M299" s="3"/>
      <c r="N299" s="3" t="s">
        <v>23</v>
      </c>
      <c r="O299" s="3" t="s">
        <v>23</v>
      </c>
      <c r="P299" s="3"/>
      <c r="Q299" s="3" t="s">
        <v>23</v>
      </c>
      <c r="R299" s="3"/>
      <c r="S299" s="3"/>
      <c r="T299" s="3"/>
      <c r="U299" s="3"/>
      <c r="V299" s="3"/>
      <c r="W299" s="3"/>
    </row>
    <row r="300" spans="1:23" x14ac:dyDescent="0.25">
      <c r="A300" s="2" t="s">
        <v>39</v>
      </c>
      <c r="B300" s="3" t="s">
        <v>486</v>
      </c>
      <c r="C300" s="2" t="str">
        <f>INDEX(รายการสาร!$B:$B,MATCH($B300,รายการสาร!$A:$A,0))</f>
        <v>Cidex OPA</v>
      </c>
      <c r="D300" s="2" t="str">
        <f>INDEX(รายการสาร!$C:$C,MATCH($B300,รายการสาร!$A:$A,0))</f>
        <v>Cidex</v>
      </c>
      <c r="E300" s="2" t="s">
        <v>487</v>
      </c>
      <c r="F300" s="2" t="s">
        <v>122</v>
      </c>
      <c r="G300" s="3"/>
      <c r="H300" s="3"/>
      <c r="I300" s="3"/>
      <c r="J300" s="3"/>
      <c r="K300" s="3"/>
      <c r="L300" s="3"/>
      <c r="M300" s="3" t="s">
        <v>23</v>
      </c>
      <c r="N300" s="3"/>
      <c r="O300" s="3" t="s">
        <v>23</v>
      </c>
      <c r="P300" s="3"/>
      <c r="Q300" s="3" t="s">
        <v>23</v>
      </c>
      <c r="R300" s="3"/>
      <c r="S300" s="3"/>
      <c r="T300" s="3"/>
      <c r="U300" s="3"/>
      <c r="V300" s="3"/>
      <c r="W300" s="3"/>
    </row>
    <row r="301" spans="1:23" ht="41.4" customHeight="1" x14ac:dyDescent="0.25">
      <c r="A301" s="2" t="s">
        <v>39</v>
      </c>
      <c r="B301" s="3" t="s">
        <v>488</v>
      </c>
      <c r="C301" s="2" t="str">
        <f>INDEX(รายการสาร!$B:$B,MATCH($B301,รายการสาร!$A:$A,0))</f>
        <v>Chlorhexidine 2 % in water</v>
      </c>
      <c r="D301" s="2" t="str">
        <f>INDEX(รายการสาร!$C:$C,MATCH($B301,รายการสาร!$A:$A,0))</f>
        <v>2 %Chlorhexidine in water</v>
      </c>
      <c r="E301" s="2" t="s">
        <v>390</v>
      </c>
      <c r="F301" s="2" t="s">
        <v>122</v>
      </c>
      <c r="G301" s="3"/>
      <c r="H301" s="3"/>
      <c r="I301" s="3"/>
      <c r="J301" s="3"/>
      <c r="K301" s="3"/>
      <c r="L301" s="3"/>
      <c r="M301" s="3"/>
      <c r="N301" s="3"/>
      <c r="O301" s="3" t="s">
        <v>23</v>
      </c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2" t="s">
        <v>39</v>
      </c>
      <c r="B302" s="3" t="s">
        <v>489</v>
      </c>
      <c r="C302" s="2" t="str">
        <f>INDEX(รายการสาร!$B:$B,MATCH($B302,รายการสาร!$A:$A,0))</f>
        <v>Hexene scurb</v>
      </c>
      <c r="D302" s="2" t="str">
        <f>INDEX(รายการสาร!$C:$C,MATCH($B302,รายการสาร!$A:$A,0))</f>
        <v>Hexene scurb</v>
      </c>
      <c r="E302" s="2" t="s">
        <v>490</v>
      </c>
      <c r="F302" s="2" t="s">
        <v>122</v>
      </c>
      <c r="G302" s="3"/>
      <c r="H302" s="3"/>
      <c r="I302" s="3"/>
      <c r="J302" s="3"/>
      <c r="K302" s="3"/>
      <c r="L302" s="3"/>
      <c r="M302" s="3"/>
      <c r="N302" s="3"/>
      <c r="O302" s="3" t="s">
        <v>23</v>
      </c>
      <c r="P302" s="3"/>
      <c r="Q302" s="3"/>
      <c r="R302" s="3"/>
      <c r="S302" s="3"/>
      <c r="T302" s="3"/>
      <c r="U302" s="3"/>
      <c r="V302" s="3"/>
      <c r="W302" s="3"/>
    </row>
    <row r="303" spans="1:23" ht="27.6" customHeight="1" x14ac:dyDescent="0.25">
      <c r="A303" s="2" t="s">
        <v>39</v>
      </c>
      <c r="B303" s="3" t="s">
        <v>491</v>
      </c>
      <c r="C303" s="2" t="str">
        <f>INDEX(รายการสาร!$B:$B,MATCH($B303,รายการสาร!$A:$A,0))</f>
        <v>Betadine Scarub 500ml</v>
      </c>
      <c r="D303" s="2" t="str">
        <f>INDEX(รายการสาร!$C:$C,MATCH($B303,รายการสาร!$A:$A,0))</f>
        <v>Betadine Scarub</v>
      </c>
      <c r="E303" s="2" t="s">
        <v>492</v>
      </c>
      <c r="F303" s="2" t="s">
        <v>122</v>
      </c>
      <c r="G303" s="3"/>
      <c r="H303" s="3"/>
      <c r="I303" s="3"/>
      <c r="J303" s="3"/>
      <c r="K303" s="3"/>
      <c r="L303" s="3"/>
      <c r="M303" s="3"/>
      <c r="N303" s="3"/>
      <c r="O303" s="3" t="s">
        <v>23</v>
      </c>
      <c r="P303" s="3"/>
      <c r="Q303" s="3"/>
      <c r="R303" s="3"/>
      <c r="S303" s="3"/>
      <c r="T303" s="3"/>
      <c r="U303" s="3"/>
      <c r="V303" s="3"/>
      <c r="W303" s="3"/>
    </row>
    <row r="304" spans="1:23" ht="27.6" customHeight="1" x14ac:dyDescent="0.25">
      <c r="A304" s="2" t="s">
        <v>39</v>
      </c>
      <c r="B304" s="3" t="s">
        <v>493</v>
      </c>
      <c r="C304" s="2" t="str">
        <f>INDEX(รายการสาร!$B:$B,MATCH($B304,รายการสาร!$A:$A,0))</f>
        <v>Betadine solution</v>
      </c>
      <c r="D304" s="2" t="str">
        <f>INDEX(รายการสาร!$C:$C,MATCH($B304,รายการสาร!$A:$A,0))</f>
        <v>Pelvidine solution</v>
      </c>
      <c r="E304" s="2" t="s">
        <v>492</v>
      </c>
      <c r="F304" s="2" t="s">
        <v>122</v>
      </c>
      <c r="G304" s="3"/>
      <c r="H304" s="3"/>
      <c r="I304" s="3"/>
      <c r="J304" s="3"/>
      <c r="K304" s="3"/>
      <c r="L304" s="3"/>
      <c r="M304" s="3"/>
      <c r="N304" s="3"/>
      <c r="O304" s="3" t="s">
        <v>23</v>
      </c>
      <c r="P304" s="3"/>
      <c r="Q304" s="3"/>
      <c r="R304" s="3"/>
      <c r="S304" s="3"/>
      <c r="T304" s="3"/>
      <c r="U304" s="3"/>
      <c r="V304" s="3"/>
      <c r="W304" s="3"/>
    </row>
    <row r="305" spans="1:23" ht="41.4" customHeight="1" x14ac:dyDescent="0.25">
      <c r="A305" s="2" t="s">
        <v>39</v>
      </c>
      <c r="B305" s="3" t="s">
        <v>113</v>
      </c>
      <c r="C305" s="2" t="str">
        <f>INDEX(รายการสาร!$B:$B,MATCH($B305,รายการสาร!$A:$A,0))</f>
        <v>น้ำยาล้างจาน</v>
      </c>
      <c r="D305" s="2" t="str">
        <f>INDEX(รายการสาร!$C:$C,MATCH($B305,รายการสาร!$A:$A,0))</f>
        <v>ไลปอนเอฟ หรือ มาวิน หรือ ซันไลต์</v>
      </c>
      <c r="E305" s="2" t="s">
        <v>494</v>
      </c>
      <c r="F305" s="2" t="s">
        <v>122</v>
      </c>
      <c r="G305" s="3"/>
      <c r="H305" s="3"/>
      <c r="I305" s="3"/>
      <c r="J305" s="3"/>
      <c r="K305" s="3"/>
      <c r="L305" s="3"/>
      <c r="M305" s="3"/>
      <c r="N305" s="3"/>
      <c r="O305" s="3" t="s">
        <v>23</v>
      </c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2" t="s">
        <v>39</v>
      </c>
      <c r="B306" s="3" t="s">
        <v>32</v>
      </c>
      <c r="C306" s="2" t="str">
        <f>INDEX(รายการสาร!$B:$B,MATCH($B306,รายการสาร!$A:$A,0))</f>
        <v>Gel ล้างมือติดผนัง</v>
      </c>
      <c r="D306" s="2" t="str">
        <f>INDEX(รายการสาร!$C:$C,MATCH($B306,รายการสาร!$A:$A,0))</f>
        <v>Purell</v>
      </c>
      <c r="E306" s="2" t="s">
        <v>128</v>
      </c>
      <c r="F306" s="2" t="s">
        <v>112</v>
      </c>
      <c r="G306" s="3"/>
      <c r="H306" s="3" t="s">
        <v>23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 t="s">
        <v>23</v>
      </c>
    </row>
    <row r="307" spans="1:23" x14ac:dyDescent="0.25">
      <c r="A307" s="2" t="s">
        <v>39</v>
      </c>
      <c r="B307" s="3" t="s">
        <v>57</v>
      </c>
      <c r="C307" s="2" t="str">
        <f>INDEX(รายการสาร!$B:$B,MATCH($B307,รายการสาร!$A:$A,0))</f>
        <v>Q-bac4 soap liquid</v>
      </c>
      <c r="D307" s="2" t="str">
        <f>INDEX(รายการสาร!$C:$C,MATCH($B307,รายการสาร!$A:$A,0))</f>
        <v>Q-bac4</v>
      </c>
      <c r="E307" s="2" t="s">
        <v>128</v>
      </c>
      <c r="F307" s="2" t="s">
        <v>117</v>
      </c>
      <c r="G307" s="3"/>
      <c r="H307" s="3" t="s">
        <v>23</v>
      </c>
      <c r="I307" s="3"/>
      <c r="J307" s="3"/>
      <c r="K307" s="3"/>
      <c r="L307" s="3"/>
      <c r="M307" s="3" t="s">
        <v>23</v>
      </c>
      <c r="N307" s="3"/>
      <c r="O307" s="3"/>
      <c r="P307" s="3"/>
      <c r="Q307" s="3" t="s">
        <v>23</v>
      </c>
      <c r="R307" s="3"/>
      <c r="S307" s="3"/>
      <c r="T307" s="3"/>
      <c r="U307" s="3"/>
      <c r="V307" s="3"/>
      <c r="W307" s="3" t="s">
        <v>23</v>
      </c>
    </row>
    <row r="308" spans="1:23" x14ac:dyDescent="0.25">
      <c r="A308" s="2" t="s">
        <v>39</v>
      </c>
      <c r="B308" s="3" t="s">
        <v>73</v>
      </c>
      <c r="C308" s="2" t="str">
        <f>INDEX(รายการสาร!$B:$B,MATCH($B308,รายการสาร!$A:$A,0))</f>
        <v>chlorhexidine 2% in 70% alcohol</v>
      </c>
      <c r="D308" s="2" t="str">
        <f>INDEX(รายการสาร!$C:$C,MATCH($B308,รายการสาร!$A:$A,0))</f>
        <v>Prepskin-C</v>
      </c>
      <c r="E308" s="2" t="s">
        <v>495</v>
      </c>
      <c r="F308" s="2" t="s">
        <v>353</v>
      </c>
      <c r="G308" s="3"/>
      <c r="H308" s="3" t="s">
        <v>23</v>
      </c>
      <c r="I308" s="3"/>
      <c r="J308" s="3"/>
      <c r="K308" s="3"/>
      <c r="L308" s="3"/>
      <c r="M308" s="3" t="s">
        <v>23</v>
      </c>
      <c r="N308" s="3"/>
      <c r="O308" s="3"/>
      <c r="P308" s="3"/>
      <c r="Q308" s="3" t="s">
        <v>23</v>
      </c>
      <c r="R308" s="3"/>
      <c r="S308" s="3"/>
      <c r="T308" s="3"/>
      <c r="U308" s="3"/>
      <c r="V308" s="3"/>
      <c r="W308" s="3" t="s">
        <v>23</v>
      </c>
    </row>
    <row r="309" spans="1:23" ht="27.6" customHeight="1" x14ac:dyDescent="0.25">
      <c r="A309" s="2" t="s">
        <v>39</v>
      </c>
      <c r="B309" s="3" t="s">
        <v>26</v>
      </c>
      <c r="C309" s="2" t="str">
        <f>INDEX(รายการสาร!$B:$B,MATCH($B309,รายการสาร!$A:$A,0))</f>
        <v>70% alcohol</v>
      </c>
      <c r="D309" s="2" t="str">
        <f>INDEX(รายการสาร!$C:$C,MATCH($B309,รายการสาร!$A:$A,0))</f>
        <v>Preservative solution 70%</v>
      </c>
      <c r="E309" s="2" t="s">
        <v>496</v>
      </c>
      <c r="F309" s="2" t="s">
        <v>122</v>
      </c>
      <c r="G309" s="3"/>
      <c r="H309" s="3" t="s">
        <v>23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 t="s">
        <v>23</v>
      </c>
    </row>
    <row r="310" spans="1:23" ht="27.6" customHeight="1" x14ac:dyDescent="0.25">
      <c r="A310" s="2" t="s">
        <v>39</v>
      </c>
      <c r="B310" s="3" t="s">
        <v>26</v>
      </c>
      <c r="C310" s="2" t="str">
        <f>INDEX(รายการสาร!$B:$B,MATCH($B310,รายการสาร!$A:$A,0))</f>
        <v>70% alcohol</v>
      </c>
      <c r="D310" s="2" t="str">
        <f>INDEX(รายการสาร!$C:$C,MATCH($B310,รายการสาร!$A:$A,0))</f>
        <v>Preservative solution 70%</v>
      </c>
      <c r="E310" s="2" t="s">
        <v>497</v>
      </c>
      <c r="F310" s="2" t="s">
        <v>122</v>
      </c>
      <c r="G310" s="3"/>
      <c r="H310" s="3" t="s">
        <v>23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 t="s">
        <v>23</v>
      </c>
    </row>
    <row r="311" spans="1:23" x14ac:dyDescent="0.25">
      <c r="A311" s="2" t="s">
        <v>39</v>
      </c>
      <c r="B311" s="3" t="s">
        <v>305</v>
      </c>
      <c r="C311" s="2" t="str">
        <f>INDEX(รายการสาร!$B:$B,MATCH($B311,รายการสาร!$A:$A,0))</f>
        <v>95 % Alcohol</v>
      </c>
      <c r="D311" s="2" t="str">
        <f>INDEX(รายการสาร!$C:$C,MATCH($B311,รายการสาร!$A:$A,0))</f>
        <v>95 % Alcohol</v>
      </c>
      <c r="E311" s="2" t="s">
        <v>498</v>
      </c>
      <c r="F311" s="2" t="s">
        <v>122</v>
      </c>
      <c r="G311" s="3"/>
      <c r="H311" s="3" t="s">
        <v>23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 t="s">
        <v>23</v>
      </c>
    </row>
    <row r="312" spans="1:23" x14ac:dyDescent="0.25">
      <c r="A312" s="2" t="s">
        <v>39</v>
      </c>
      <c r="B312" s="3" t="s">
        <v>30</v>
      </c>
      <c r="C312" s="2" t="str">
        <f>INDEX(รายการสาร!$B:$B,MATCH($B312,รายการสาร!$A:$A,0))</f>
        <v>Ammonia</v>
      </c>
      <c r="D312" s="2" t="str">
        <f>INDEX(รายการสาร!$C:$C,MATCH($B312,รายการสาร!$A:$A,0))</f>
        <v>Ammonia</v>
      </c>
      <c r="E312" s="2" t="s">
        <v>310</v>
      </c>
      <c r="F312" s="2" t="s">
        <v>122</v>
      </c>
      <c r="G312" s="3"/>
      <c r="H312" s="3"/>
      <c r="I312" s="3"/>
      <c r="J312" s="3" t="s">
        <v>23</v>
      </c>
      <c r="K312" s="3" t="s">
        <v>23</v>
      </c>
      <c r="L312" s="3"/>
      <c r="M312" s="3" t="s">
        <v>23</v>
      </c>
      <c r="N312" s="3"/>
      <c r="O312" s="3"/>
      <c r="P312" s="3"/>
      <c r="Q312" s="3" t="s">
        <v>23</v>
      </c>
      <c r="R312" s="3" t="s">
        <v>23</v>
      </c>
      <c r="S312" s="3"/>
      <c r="T312" s="3"/>
      <c r="U312" s="3"/>
      <c r="V312" s="3"/>
      <c r="W312" s="3"/>
    </row>
    <row r="313" spans="1:23" x14ac:dyDescent="0.25">
      <c r="A313" s="2" t="s">
        <v>39</v>
      </c>
      <c r="B313" s="3" t="s">
        <v>499</v>
      </c>
      <c r="C313" s="2" t="str">
        <f>INDEX(รายการสาร!$B:$B,MATCH($B313,รายการสาร!$A:$A,0))</f>
        <v>HistoPot</v>
      </c>
      <c r="D313" s="2" t="str">
        <f>INDEX(รายการสาร!$C:$C,MATCH($B313,รายการสาร!$A:$A,0))</f>
        <v>HistoPot</v>
      </c>
      <c r="E313" s="2"/>
      <c r="F313" s="2" t="s">
        <v>122</v>
      </c>
      <c r="G313" s="3"/>
      <c r="H313" s="3"/>
      <c r="I313" s="3"/>
      <c r="J313" s="3"/>
      <c r="K313" s="3"/>
      <c r="L313" s="3"/>
      <c r="M313" s="3" t="s">
        <v>23</v>
      </c>
      <c r="N313" s="3"/>
      <c r="O313" s="3" t="s">
        <v>23</v>
      </c>
      <c r="P313" s="3"/>
      <c r="Q313" s="3" t="s">
        <v>23</v>
      </c>
      <c r="R313" s="3" t="s">
        <v>23</v>
      </c>
      <c r="S313" s="3"/>
      <c r="T313" s="3"/>
      <c r="U313" s="3"/>
      <c r="V313" s="3"/>
      <c r="W313" s="3"/>
    </row>
    <row r="314" spans="1:23" x14ac:dyDescent="0.25">
      <c r="A314" s="2" t="s">
        <v>39</v>
      </c>
      <c r="B314" s="3" t="s">
        <v>500</v>
      </c>
      <c r="C314" s="2" t="str">
        <f>INDEX(รายการสาร!$B:$B,MATCH($B314,รายการสาร!$A:$A,0))</f>
        <v>Argon</v>
      </c>
      <c r="D314" s="2" t="str">
        <f>INDEX(รายการสาร!$C:$C,MATCH($B314,รายการสาร!$A:$A,0))</f>
        <v>Argon</v>
      </c>
      <c r="E314" s="2" t="s">
        <v>501</v>
      </c>
      <c r="F314" s="2" t="s">
        <v>502</v>
      </c>
      <c r="G314" s="3"/>
      <c r="H314" s="3"/>
      <c r="I314" s="3"/>
      <c r="J314" s="3"/>
      <c r="K314" s="3"/>
      <c r="L314" s="3" t="s">
        <v>23</v>
      </c>
      <c r="M314" s="3" t="s">
        <v>23</v>
      </c>
      <c r="N314" s="3"/>
      <c r="O314" s="3"/>
      <c r="P314" s="3"/>
      <c r="Q314" s="3"/>
      <c r="R314" s="3" t="s">
        <v>23</v>
      </c>
      <c r="S314" s="3"/>
      <c r="T314" s="3"/>
      <c r="U314" s="3"/>
      <c r="V314" s="3"/>
      <c r="W314" s="3"/>
    </row>
    <row r="315" spans="1:23" x14ac:dyDescent="0.25">
      <c r="A315" s="2" t="s">
        <v>39</v>
      </c>
      <c r="B315" s="3" t="s">
        <v>503</v>
      </c>
      <c r="C315" s="2" t="str">
        <f>INDEX(รายการสาร!$B:$B,MATCH($B315,รายการสาร!$A:$A,0))</f>
        <v>Carbon dioxide</v>
      </c>
      <c r="D315" s="2" t="str">
        <f>INDEX(รายการสาร!$C:$C,MATCH($B315,รายการสาร!$A:$A,0))</f>
        <v>Carbon dioxide</v>
      </c>
      <c r="E315" s="2" t="s">
        <v>504</v>
      </c>
      <c r="F315" s="2" t="s">
        <v>505</v>
      </c>
      <c r="G315" s="3"/>
      <c r="H315" s="3"/>
      <c r="I315" s="3"/>
      <c r="J315" s="3"/>
      <c r="K315" s="3"/>
      <c r="L315" s="3" t="s">
        <v>23</v>
      </c>
      <c r="M315" s="3" t="s">
        <v>23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2" t="s">
        <v>39</v>
      </c>
      <c r="B316" s="3" t="s">
        <v>35</v>
      </c>
      <c r="C316" s="2" t="str">
        <f>INDEX(รายการสาร!$B:$B,MATCH($B316,รายการสาร!$A:$A,0))</f>
        <v>Alcohol Gel</v>
      </c>
      <c r="D316" s="2" t="str">
        <f>INDEX(รายการสาร!$C:$C,MATCH($B316,รายการสาร!$A:$A,0))</f>
        <v>Clear Hand Gel</v>
      </c>
      <c r="E316" s="2" t="s">
        <v>506</v>
      </c>
      <c r="F316" s="2" t="s">
        <v>122</v>
      </c>
      <c r="G316" s="3"/>
      <c r="H316" s="3" t="s">
        <v>23</v>
      </c>
      <c r="I316" s="3"/>
      <c r="J316" s="3"/>
      <c r="K316" s="3"/>
      <c r="L316" s="3" t="s">
        <v>23</v>
      </c>
      <c r="M316" s="3" t="s">
        <v>23</v>
      </c>
      <c r="N316" s="3"/>
      <c r="O316" s="3"/>
      <c r="P316" s="3"/>
      <c r="Q316" s="3"/>
      <c r="R316" s="3"/>
      <c r="S316" s="3"/>
      <c r="T316" s="3"/>
      <c r="U316" s="3"/>
      <c r="V316" s="3"/>
      <c r="W316" s="3" t="s">
        <v>23</v>
      </c>
    </row>
    <row r="317" spans="1:23" x14ac:dyDescent="0.25">
      <c r="A317" s="2" t="s">
        <v>507</v>
      </c>
      <c r="B317" s="3" t="s">
        <v>45</v>
      </c>
      <c r="C317" s="2" t="str">
        <f>INDEX(รายการสาร!$B:$B,MATCH($B317,รายการสาร!$A:$A,0))</f>
        <v>Alcohol Pad</v>
      </c>
      <c r="D317" s="2" t="str">
        <f>INDEX(รายการสาร!$C:$C,MATCH($B317,รายการสาร!$A:$A,0))</f>
        <v>Neoplast</v>
      </c>
      <c r="E317" s="2" t="s">
        <v>508</v>
      </c>
      <c r="F317" s="2" t="s">
        <v>122</v>
      </c>
      <c r="G317" s="3"/>
      <c r="H317" s="3" t="s">
        <v>23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 t="s">
        <v>23</v>
      </c>
    </row>
    <row r="318" spans="1:23" x14ac:dyDescent="0.25">
      <c r="A318" s="2" t="s">
        <v>507</v>
      </c>
      <c r="B318" s="3" t="s">
        <v>276</v>
      </c>
      <c r="C318" s="2" t="str">
        <f>INDEX(รายการสาร!$B:$B,MATCH($B318,รายการสาร!$A:$A,0))</f>
        <v>Alcohol Gel</v>
      </c>
      <c r="D318" s="2" t="str">
        <f>INDEX(รายการสาร!$C:$C,MATCH($B318,รายการสาร!$A:$A,0))</f>
        <v>Clean hand Gel</v>
      </c>
      <c r="E318" s="2" t="s">
        <v>255</v>
      </c>
      <c r="F318" s="2" t="s">
        <v>122</v>
      </c>
      <c r="G318" s="3"/>
      <c r="H318" s="3" t="s">
        <v>23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 t="s">
        <v>23</v>
      </c>
    </row>
    <row r="319" spans="1:23" x14ac:dyDescent="0.25">
      <c r="A319" s="2" t="s">
        <v>507</v>
      </c>
      <c r="B319" s="3" t="s">
        <v>20</v>
      </c>
      <c r="C319" s="2" t="str">
        <f>INDEX(รายการสาร!$B:$B,MATCH($B319,รายการสาร!$A:$A,0))</f>
        <v>คิมแคร์สบู่เหลวล้างมือ</v>
      </c>
      <c r="D319" s="2" t="str">
        <f>INDEX(รายการสาร!$C:$C,MATCH($B319,รายการสาร!$A:$A,0))</f>
        <v>Kimcare</v>
      </c>
      <c r="E319" s="2" t="s">
        <v>111</v>
      </c>
      <c r="F319" s="2" t="s">
        <v>122</v>
      </c>
      <c r="G319" s="3"/>
      <c r="H319" s="3"/>
      <c r="I319" s="3"/>
      <c r="J319" s="3"/>
      <c r="K319" s="3"/>
      <c r="L319" s="3"/>
      <c r="M319" s="3"/>
      <c r="N319" s="3"/>
      <c r="O319" s="3" t="s">
        <v>23</v>
      </c>
      <c r="P319" s="3"/>
      <c r="Q319" s="3"/>
      <c r="R319" s="3"/>
      <c r="S319" s="3"/>
      <c r="T319" s="3"/>
      <c r="U319" s="3"/>
      <c r="V319" s="3"/>
      <c r="W319" s="3"/>
    </row>
    <row r="320" spans="1:23" ht="41.4" customHeight="1" x14ac:dyDescent="0.25">
      <c r="A320" s="2" t="s">
        <v>507</v>
      </c>
      <c r="B320" s="3" t="s">
        <v>113</v>
      </c>
      <c r="C320" s="2" t="str">
        <f>INDEX(รายการสาร!$B:$B,MATCH($B320,รายการสาร!$A:$A,0))</f>
        <v>น้ำยาล้างจาน</v>
      </c>
      <c r="D320" s="2" t="str">
        <f>INDEX(รายการสาร!$C:$C,MATCH($B320,รายการสาร!$A:$A,0))</f>
        <v>ไลปอนเอฟ หรือ มาวิน หรือ ซันไลต์</v>
      </c>
      <c r="E320" s="2" t="s">
        <v>509</v>
      </c>
      <c r="F320" s="2" t="s">
        <v>510</v>
      </c>
      <c r="G320" s="3"/>
      <c r="H320" s="3"/>
      <c r="I320" s="3"/>
      <c r="J320" s="3"/>
      <c r="K320" s="3"/>
      <c r="L320" s="3"/>
      <c r="M320" s="3"/>
      <c r="N320" s="3"/>
      <c r="O320" s="3" t="s">
        <v>23</v>
      </c>
      <c r="P320" s="3"/>
      <c r="Q320" s="3"/>
      <c r="R320" s="3"/>
      <c r="S320" s="3"/>
      <c r="T320" s="3"/>
      <c r="U320" s="3"/>
      <c r="V320" s="3"/>
      <c r="W320" s="3"/>
    </row>
    <row r="321" spans="1:23" ht="27.6" customHeight="1" x14ac:dyDescent="0.25">
      <c r="A321" s="2" t="s">
        <v>507</v>
      </c>
      <c r="B321" s="3" t="s">
        <v>26</v>
      </c>
      <c r="C321" s="2" t="str">
        <f>INDEX(รายการสาร!$B:$B,MATCH($B321,รายการสาร!$A:$A,0))</f>
        <v>70% alcohol</v>
      </c>
      <c r="D321" s="2" t="str">
        <f>INDEX(รายการสาร!$C:$C,MATCH($B321,รายการสาร!$A:$A,0))</f>
        <v>Preservative solution 70%</v>
      </c>
      <c r="E321" s="2" t="s">
        <v>511</v>
      </c>
      <c r="F321" s="2" t="s">
        <v>353</v>
      </c>
      <c r="G321" s="3"/>
      <c r="H321" s="3" t="s">
        <v>23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 t="s">
        <v>23</v>
      </c>
    </row>
    <row r="322" spans="1:23" ht="27.6" customHeight="1" x14ac:dyDescent="0.25">
      <c r="A322" s="2" t="s">
        <v>507</v>
      </c>
      <c r="B322" s="3" t="s">
        <v>273</v>
      </c>
      <c r="C322" s="2" t="str">
        <f>INDEX(รายการสาร!$B:$B,MATCH($B322,รายการสาร!$A:$A,0))</f>
        <v>Betadine solution</v>
      </c>
      <c r="D322" s="2" t="str">
        <f>INDEX(รายการสาร!$C:$C,MATCH($B322,รายการสาร!$A:$A,0))</f>
        <v>Betadine solution</v>
      </c>
      <c r="E322" s="2" t="s">
        <v>321</v>
      </c>
      <c r="F322" s="2" t="s">
        <v>122</v>
      </c>
      <c r="G322" s="3"/>
      <c r="H322" s="3"/>
      <c r="I322" s="3"/>
      <c r="J322" s="3"/>
      <c r="K322" s="3"/>
      <c r="L322" s="3"/>
      <c r="M322" s="3" t="s">
        <v>23</v>
      </c>
      <c r="N322" s="3"/>
      <c r="O322" s="3"/>
      <c r="P322" s="3"/>
      <c r="Q322" s="3" t="s">
        <v>23</v>
      </c>
      <c r="R322" s="3"/>
      <c r="S322" s="3"/>
      <c r="T322" s="3"/>
      <c r="U322" s="3"/>
      <c r="V322" s="3"/>
      <c r="W322" s="3"/>
    </row>
    <row r="323" spans="1:23" x14ac:dyDescent="0.25">
      <c r="A323" s="2" t="s">
        <v>507</v>
      </c>
      <c r="B323" s="3" t="s">
        <v>512</v>
      </c>
      <c r="C323" s="2" t="str">
        <f>INDEX(รายการสาร!$B:$B,MATCH($B323,รายการสาร!$A:$A,0))</f>
        <v>ALCOHOL 95%</v>
      </c>
      <c r="D323" s="2" t="str">
        <f>INDEX(รายการสาร!$C:$C,MATCH($B323,รายการสาร!$A:$A,0))</f>
        <v>Ethyl alcohol</v>
      </c>
      <c r="E323" s="2" t="s">
        <v>282</v>
      </c>
      <c r="F323" s="2" t="s">
        <v>122</v>
      </c>
      <c r="G323" s="3"/>
      <c r="H323" s="3" t="s">
        <v>23</v>
      </c>
      <c r="I323" s="3"/>
      <c r="J323" s="3"/>
      <c r="K323" s="3"/>
      <c r="L323" s="3"/>
      <c r="M323" s="3"/>
      <c r="N323" s="3"/>
      <c r="O323" s="3" t="s">
        <v>23</v>
      </c>
      <c r="P323" s="3"/>
      <c r="Q323" s="3" t="s">
        <v>23</v>
      </c>
      <c r="R323" s="3" t="s">
        <v>23</v>
      </c>
      <c r="S323" s="3" t="s">
        <v>23</v>
      </c>
      <c r="T323" s="3" t="s">
        <v>23</v>
      </c>
      <c r="U323" s="3"/>
      <c r="V323" s="3"/>
      <c r="W323" s="3" t="s">
        <v>23</v>
      </c>
    </row>
    <row r="324" spans="1:23" x14ac:dyDescent="0.25">
      <c r="A324" s="2" t="s">
        <v>507</v>
      </c>
      <c r="B324" s="3" t="s">
        <v>513</v>
      </c>
      <c r="C324" s="2" t="str">
        <f>INDEX(รายการสาร!$B:$B,MATCH($B324,รายการสาร!$A:$A,0))</f>
        <v>silver nitrate stick</v>
      </c>
      <c r="D324" s="2" t="str">
        <f>INDEX(รายการสาร!$C:$C,MATCH($B324,รายการสาร!$A:$A,0))</f>
        <v>silver nitrate</v>
      </c>
      <c r="E324" s="2" t="s">
        <v>390</v>
      </c>
      <c r="F324" s="2" t="s">
        <v>122</v>
      </c>
      <c r="G324" s="3"/>
      <c r="H324" s="3" t="s">
        <v>23</v>
      </c>
      <c r="I324" s="3"/>
      <c r="J324" s="3"/>
      <c r="K324" s="3" t="s">
        <v>23</v>
      </c>
      <c r="L324" s="3"/>
      <c r="M324" s="3"/>
      <c r="N324" s="3"/>
      <c r="O324" s="3"/>
      <c r="P324" s="3"/>
      <c r="Q324" s="3" t="s">
        <v>23</v>
      </c>
      <c r="R324" s="3" t="s">
        <v>23</v>
      </c>
      <c r="S324" s="3" t="s">
        <v>23</v>
      </c>
      <c r="T324" s="3" t="s">
        <v>23</v>
      </c>
      <c r="U324" s="3"/>
      <c r="V324" s="3"/>
      <c r="W324" s="3" t="s">
        <v>23</v>
      </c>
    </row>
    <row r="325" spans="1:23" x14ac:dyDescent="0.25">
      <c r="A325" s="2" t="s">
        <v>507</v>
      </c>
      <c r="B325" s="3" t="s">
        <v>514</v>
      </c>
      <c r="C325" s="2" t="str">
        <f>INDEX(รายการสาร!$B:$B,MATCH($B325,รายการสาร!$A:$A,0))</f>
        <v>ThinPrep</v>
      </c>
      <c r="D325" s="2" t="str">
        <f>INDEX(รายการสาร!$C:$C,MATCH($B325,รายการสาร!$A:$A,0))</f>
        <v>ThinPrep</v>
      </c>
      <c r="E325" s="2" t="s">
        <v>515</v>
      </c>
      <c r="F325" s="2" t="s">
        <v>122</v>
      </c>
      <c r="G325" s="3"/>
      <c r="H325" s="3" t="s">
        <v>23</v>
      </c>
      <c r="I325" s="3"/>
      <c r="J325" s="3"/>
      <c r="K325" s="3"/>
      <c r="L325" s="3"/>
      <c r="M325" s="3" t="s">
        <v>23</v>
      </c>
      <c r="N325" s="3"/>
      <c r="O325" s="3"/>
      <c r="P325" s="3"/>
      <c r="Q325" s="3" t="s">
        <v>23</v>
      </c>
      <c r="R325" s="3"/>
      <c r="S325" s="3"/>
      <c r="T325" s="3"/>
      <c r="U325" s="3"/>
      <c r="V325" s="3"/>
      <c r="W325" s="3" t="s">
        <v>23</v>
      </c>
    </row>
    <row r="326" spans="1:23" ht="27.6" customHeight="1" x14ac:dyDescent="0.25">
      <c r="A326" s="2" t="s">
        <v>507</v>
      </c>
      <c r="B326" s="3" t="s">
        <v>516</v>
      </c>
      <c r="C326" s="2" t="str">
        <f>INDEX(รายการสาร!$B:$B,MATCH($B326,รายการสาร!$A:$A,0))</f>
        <v>Gel ล้างมือตืดผนัง</v>
      </c>
      <c r="D326" s="2" t="str">
        <f>INDEX(รายการสาร!$C:$C,MATCH($B326,รายการสาร!$A:$A,0))</f>
        <v>Purell (Hand Sanitizer)</v>
      </c>
      <c r="E326" s="2" t="s">
        <v>128</v>
      </c>
      <c r="F326" s="2" t="s">
        <v>117</v>
      </c>
      <c r="G326" s="3"/>
      <c r="H326" s="3" t="s">
        <v>23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 t="s">
        <v>23</v>
      </c>
    </row>
    <row r="327" spans="1:23" ht="27.6" customHeight="1" x14ac:dyDescent="0.25">
      <c r="A327" s="2" t="s">
        <v>65</v>
      </c>
      <c r="B327" s="3" t="s">
        <v>517</v>
      </c>
      <c r="C327" s="2" t="str">
        <f>INDEX(รายการสาร!$B:$B,MATCH($B327,รายการสาร!$A:$A,0))</f>
        <v>Ethy alcohol</v>
      </c>
      <c r="D327" s="2" t="str">
        <f>INDEX(รายการสาร!$C:$C,MATCH($B327,รายการสาร!$A:$A,0))</f>
        <v>Preservative solution 70%</v>
      </c>
      <c r="E327" s="2" t="s">
        <v>518</v>
      </c>
      <c r="F327" s="2" t="s">
        <v>122</v>
      </c>
      <c r="G327" s="3"/>
      <c r="H327" s="3" t="s">
        <v>23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 t="s">
        <v>23</v>
      </c>
    </row>
    <row r="328" spans="1:23" x14ac:dyDescent="0.25">
      <c r="A328" s="2" t="s">
        <v>65</v>
      </c>
      <c r="B328" s="3" t="s">
        <v>519</v>
      </c>
      <c r="C328" s="2" t="str">
        <f>INDEX(รายการสาร!$B:$B,MATCH($B328,รายการสาร!$A:$A,0))</f>
        <v>Betadine</v>
      </c>
      <c r="D328" s="2" t="str">
        <f>INDEX(รายการสาร!$C:$C,MATCH($B328,รายการสาร!$A:$A,0))</f>
        <v>Iodine</v>
      </c>
      <c r="E328" s="2" t="s">
        <v>520</v>
      </c>
      <c r="F328" s="2" t="s">
        <v>122</v>
      </c>
      <c r="G328" s="3"/>
      <c r="H328" s="3"/>
      <c r="I328" s="3"/>
      <c r="J328" s="3"/>
      <c r="K328" s="3"/>
      <c r="L328" s="3"/>
      <c r="M328" s="3"/>
      <c r="N328" s="3"/>
      <c r="O328" s="3" t="s">
        <v>23</v>
      </c>
      <c r="P328" s="3"/>
      <c r="Q328" s="3" t="s">
        <v>23</v>
      </c>
      <c r="R328" s="3"/>
      <c r="S328" s="3"/>
      <c r="T328" s="3"/>
      <c r="U328" s="3"/>
      <c r="V328" s="3"/>
      <c r="W328" s="3"/>
    </row>
    <row r="329" spans="1:23" x14ac:dyDescent="0.25">
      <c r="A329" s="2" t="s">
        <v>65</v>
      </c>
      <c r="B329" s="3" t="s">
        <v>20</v>
      </c>
      <c r="C329" s="2" t="str">
        <f>INDEX(รายการสาร!$B:$B,MATCH($B329,รายการสาร!$A:$A,0))</f>
        <v>คิมแคร์สบู่เหลวล้างมือ</v>
      </c>
      <c r="D329" s="2" t="str">
        <f>INDEX(รายการสาร!$C:$C,MATCH($B329,รายการสาร!$A:$A,0))</f>
        <v>Kimcare</v>
      </c>
      <c r="E329" s="2" t="s">
        <v>111</v>
      </c>
      <c r="F329" s="2" t="s">
        <v>122</v>
      </c>
      <c r="G329" s="3"/>
      <c r="H329" s="3"/>
      <c r="I329" s="3"/>
      <c r="J329" s="3"/>
      <c r="K329" s="3"/>
      <c r="L329" s="3"/>
      <c r="M329" s="3"/>
      <c r="N329" s="3"/>
      <c r="O329" s="3" t="s">
        <v>23</v>
      </c>
      <c r="P329" s="3"/>
      <c r="Q329" s="3"/>
      <c r="R329" s="3"/>
      <c r="S329" s="3"/>
      <c r="T329" s="3"/>
      <c r="U329" s="3"/>
      <c r="V329" s="3"/>
      <c r="W329" s="3"/>
    </row>
    <row r="330" spans="1:23" ht="41.4" customHeight="1" x14ac:dyDescent="0.25">
      <c r="A330" s="2" t="s">
        <v>65</v>
      </c>
      <c r="B330" s="3" t="s">
        <v>113</v>
      </c>
      <c r="C330" s="2" t="str">
        <f>INDEX(รายการสาร!$B:$B,MATCH($B330,รายการสาร!$A:$A,0))</f>
        <v>น้ำยาล้างจาน</v>
      </c>
      <c r="D330" s="2" t="str">
        <f>INDEX(รายการสาร!$C:$C,MATCH($B330,รายการสาร!$A:$A,0))</f>
        <v>ไลปอนเอฟ หรือ มาวิน หรือ ซันไลต์</v>
      </c>
      <c r="E330" s="2" t="s">
        <v>111</v>
      </c>
      <c r="F330" s="2" t="s">
        <v>122</v>
      </c>
      <c r="G330" s="3"/>
      <c r="H330" s="3"/>
      <c r="I330" s="3"/>
      <c r="J330" s="3"/>
      <c r="K330" s="3"/>
      <c r="L330" s="3"/>
      <c r="M330" s="3"/>
      <c r="N330" s="3"/>
      <c r="O330" s="3" t="s">
        <v>23</v>
      </c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2" t="s">
        <v>65</v>
      </c>
      <c r="B331" s="3" t="s">
        <v>521</v>
      </c>
      <c r="C331" s="2" t="str">
        <f>INDEX(รายการสาร!$B:$B,MATCH($B331,รายการสาร!$A:$A,0))</f>
        <v>น้ำยาล้างขวดนม (Sodium-Lauryl-Ether-Sulfate)</v>
      </c>
      <c r="D331" s="2" t="str">
        <f>INDEX(รายการสาร!$C:$C,MATCH($B331,รายการสาร!$A:$A,0))</f>
        <v>Baby mild</v>
      </c>
      <c r="E331" s="2" t="s">
        <v>522</v>
      </c>
      <c r="F331" s="2" t="s">
        <v>122</v>
      </c>
      <c r="G331" s="3"/>
      <c r="H331" s="3"/>
      <c r="I331" s="3"/>
      <c r="J331" s="3"/>
      <c r="K331" s="3"/>
      <c r="L331" s="3"/>
      <c r="M331" s="3"/>
      <c r="N331" s="3"/>
      <c r="O331" s="3" t="s">
        <v>23</v>
      </c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2" t="s">
        <v>65</v>
      </c>
      <c r="B332" s="3" t="s">
        <v>94</v>
      </c>
      <c r="C332" s="2" t="str">
        <f>INDEX(รายการสาร!$B:$B,MATCH($B332,รายการสาร!$A:$A,0))</f>
        <v>ALCOHOL HAND GEL (4 OZ with Pump).</v>
      </c>
      <c r="D332" s="2" t="str">
        <f>INDEX(รายการสาร!$C:$C,MATCH($B332,รายการสาร!$A:$A,0))</f>
        <v>Clear Hand Gel</v>
      </c>
      <c r="E332" s="2" t="s">
        <v>523</v>
      </c>
      <c r="F332" s="2" t="s">
        <v>122</v>
      </c>
      <c r="G332" s="3"/>
      <c r="H332" s="3" t="s">
        <v>23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 t="s">
        <v>23</v>
      </c>
    </row>
    <row r="333" spans="1:23" x14ac:dyDescent="0.25">
      <c r="A333" s="2" t="s">
        <v>65</v>
      </c>
      <c r="B333" s="3" t="s">
        <v>63</v>
      </c>
      <c r="C333" s="2" t="str">
        <f>INDEX(รายการสาร!$B:$B,MATCH($B333,รายการสาร!$A:$A,0))</f>
        <v>CaviWipes</v>
      </c>
      <c r="D333" s="2" t="str">
        <f>INDEX(รายการสาร!$C:$C,MATCH($B333,รายการสาร!$A:$A,0))</f>
        <v>CaviWipes</v>
      </c>
      <c r="E333" s="2" t="s">
        <v>258</v>
      </c>
      <c r="F333" s="2" t="s">
        <v>122</v>
      </c>
      <c r="G333" s="3"/>
      <c r="H333" s="3" t="s">
        <v>23</v>
      </c>
      <c r="I333" s="3"/>
      <c r="J333" s="3"/>
      <c r="K333" s="3"/>
      <c r="L333" s="3"/>
      <c r="M333" s="3"/>
      <c r="N333" s="3"/>
      <c r="O333" s="3" t="s">
        <v>23</v>
      </c>
      <c r="P333" s="3"/>
      <c r="Q333" s="3"/>
      <c r="R333" s="3"/>
      <c r="S333" s="3"/>
      <c r="T333" s="3"/>
      <c r="U333" s="3"/>
      <c r="V333" s="3"/>
      <c r="W333" s="3" t="s">
        <v>23</v>
      </c>
    </row>
    <row r="334" spans="1:23" ht="55.2" customHeight="1" x14ac:dyDescent="0.25">
      <c r="A334" s="2" t="s">
        <v>65</v>
      </c>
      <c r="B334" s="3" t="s">
        <v>524</v>
      </c>
      <c r="C334" s="2" t="str">
        <f>INDEX(รายการสาร!$B:$B,MATCH($B334,รายการสาร!$A:$A,0))</f>
        <v>แชมพูสระผมเด็ก</v>
      </c>
      <c r="D334" s="2" t="str">
        <f>INDEX(รายการสาร!$C:$C,MATCH($B334,รายการสาร!$A:$A,0))</f>
        <v>จอห์นสัน,Pigion,dermapon,babymild,d-nee,arau baby</v>
      </c>
      <c r="E334" s="2"/>
      <c r="F334" s="2" t="s">
        <v>122</v>
      </c>
      <c r="G334" s="3"/>
      <c r="H334" s="3"/>
      <c r="I334" s="3"/>
      <c r="J334" s="3"/>
      <c r="K334" s="3"/>
      <c r="L334" s="3"/>
      <c r="M334" s="3"/>
      <c r="N334" s="3"/>
      <c r="O334" s="3" t="s">
        <v>23</v>
      </c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2" t="s">
        <v>65</v>
      </c>
      <c r="B335" s="3" t="s">
        <v>525</v>
      </c>
      <c r="C335" s="2" t="str">
        <f>INDEX(รายการสาร!$B:$B,MATCH($B335,รายการสาร!$A:$A,0))</f>
        <v>น้ำมันมะกอก</v>
      </c>
      <c r="D335" s="2" t="str">
        <f>INDEX(รายการสาร!$C:$C,MATCH($B335,รายการสาร!$A:$A,0))</f>
        <v>น้ำมันมะกอก</v>
      </c>
      <c r="E335" s="2"/>
      <c r="F335" s="2" t="s">
        <v>122</v>
      </c>
      <c r="G335" s="3"/>
      <c r="H335" s="3" t="s">
        <v>23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 t="s">
        <v>23</v>
      </c>
    </row>
    <row r="336" spans="1:23" x14ac:dyDescent="0.25">
      <c r="A336" s="2" t="s">
        <v>65</v>
      </c>
      <c r="B336" s="3" t="s">
        <v>32</v>
      </c>
      <c r="C336" s="2" t="str">
        <f>INDEX(รายการสาร!$B:$B,MATCH($B336,รายการสาร!$A:$A,0))</f>
        <v>Gel ล้างมือติดผนัง</v>
      </c>
      <c r="D336" s="2" t="str">
        <f>INDEX(รายการสาร!$C:$C,MATCH($B336,รายการสาร!$A:$A,0))</f>
        <v>Purell</v>
      </c>
      <c r="E336" s="2" t="s">
        <v>128</v>
      </c>
      <c r="F336" s="2" t="s">
        <v>129</v>
      </c>
      <c r="G336" s="3"/>
      <c r="H336" s="3" t="s">
        <v>23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 t="s">
        <v>23</v>
      </c>
    </row>
    <row r="337" spans="1:23" x14ac:dyDescent="0.25">
      <c r="A337" s="2" t="s">
        <v>65</v>
      </c>
      <c r="B337" s="3" t="s">
        <v>526</v>
      </c>
      <c r="C337" s="2" t="str">
        <f>INDEX(รายการสาร!$B:$B,MATCH($B337,รายการสาร!$A:$A,0))</f>
        <v>Hydrex scrub</v>
      </c>
      <c r="D337" s="2" t="str">
        <f>INDEX(รายการสาร!$C:$C,MATCH($B337,รายการสาร!$A:$A,0))</f>
        <v>Hydrex scrub</v>
      </c>
      <c r="E337" s="2" t="s">
        <v>359</v>
      </c>
      <c r="F337" s="2" t="s">
        <v>122</v>
      </c>
      <c r="G337" s="3"/>
      <c r="H337" s="3"/>
      <c r="I337" s="3"/>
      <c r="J337" s="3"/>
      <c r="K337" s="3"/>
      <c r="L337" s="3"/>
      <c r="M337" s="3" t="s">
        <v>23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2" t="s">
        <v>65</v>
      </c>
      <c r="B338" s="3" t="s">
        <v>45</v>
      </c>
      <c r="C338" s="2" t="str">
        <f>INDEX(รายการสาร!$B:$B,MATCH($B338,รายการสาร!$A:$A,0))</f>
        <v>Alcohol Pad</v>
      </c>
      <c r="D338" s="2" t="str">
        <f>INDEX(รายการสาร!$C:$C,MATCH($B338,รายการสาร!$A:$A,0))</f>
        <v>Neoplast</v>
      </c>
      <c r="E338" s="2" t="s">
        <v>270</v>
      </c>
      <c r="F338" s="2" t="s">
        <v>122</v>
      </c>
      <c r="G338" s="3"/>
      <c r="H338" s="3" t="s">
        <v>23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 t="s">
        <v>23</v>
      </c>
    </row>
    <row r="339" spans="1:23" x14ac:dyDescent="0.25">
      <c r="A339" s="2" t="s">
        <v>65</v>
      </c>
      <c r="B339" s="3" t="s">
        <v>57</v>
      </c>
      <c r="C339" s="2" t="str">
        <f>INDEX(รายการสาร!$B:$B,MATCH($B339,รายการสาร!$A:$A,0))</f>
        <v>Q-bac4 soap liquid</v>
      </c>
      <c r="D339" s="2" t="str">
        <f>INDEX(รายการสาร!$C:$C,MATCH($B339,รายการสาร!$A:$A,0))</f>
        <v>Q-bac4</v>
      </c>
      <c r="E339" s="2" t="s">
        <v>128</v>
      </c>
      <c r="F339" s="2" t="s">
        <v>117</v>
      </c>
      <c r="G339" s="3"/>
      <c r="H339" s="3"/>
      <c r="I339" s="3"/>
      <c r="J339" s="3"/>
      <c r="K339" s="3"/>
      <c r="L339" s="3"/>
      <c r="M339" s="3"/>
      <c r="N339" s="3"/>
      <c r="O339" s="3" t="s">
        <v>23</v>
      </c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2" t="s">
        <v>65</v>
      </c>
      <c r="B340" s="3" t="s">
        <v>527</v>
      </c>
      <c r="C340" s="2" t="str">
        <f>INDEX(รายการสาร!$B:$B,MATCH($B340,รายการสาร!$A:$A,0))</f>
        <v>Oxygen ถังเล็ก</v>
      </c>
      <c r="D340" s="2" t="str">
        <f>INDEX(รายการสาร!$C:$C,MATCH($B340,รายการสาร!$A:$A,0))</f>
        <v>Oxygen</v>
      </c>
      <c r="E340" s="2" t="s">
        <v>412</v>
      </c>
      <c r="F340" s="2" t="s">
        <v>528</v>
      </c>
      <c r="G340" s="3"/>
      <c r="H340" s="3"/>
      <c r="I340" s="3"/>
      <c r="J340" s="3"/>
      <c r="K340" s="3"/>
      <c r="L340" s="3" t="s">
        <v>23</v>
      </c>
      <c r="M340" s="3"/>
      <c r="N340" s="3"/>
      <c r="O340" s="3" t="s">
        <v>23</v>
      </c>
      <c r="P340" s="3"/>
      <c r="Q340" s="3" t="s">
        <v>23</v>
      </c>
      <c r="R340" s="3" t="s">
        <v>23</v>
      </c>
      <c r="S340" s="3"/>
      <c r="T340" s="3"/>
      <c r="U340" s="3"/>
      <c r="V340" s="3"/>
      <c r="W340" s="3"/>
    </row>
    <row r="341" spans="1:23" ht="27.6" customHeight="1" x14ac:dyDescent="0.25">
      <c r="A341" s="2" t="s">
        <v>65</v>
      </c>
      <c r="B341" s="3" t="s">
        <v>529</v>
      </c>
      <c r="C341" s="2" t="str">
        <f>INDEX(รายการสาร!$B:$B,MATCH($B341,รายการสาร!$A:$A,0))</f>
        <v>ทิชชู่เปียก</v>
      </c>
      <c r="D341" s="2" t="str">
        <f>INDEX(รายการสาร!$C:$C,MATCH($B341,รายการสาร!$A:$A,0))</f>
        <v>Pigeon baby wipes</v>
      </c>
      <c r="E341" s="2"/>
      <c r="F341" s="2" t="s">
        <v>122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7.6" x14ac:dyDescent="0.25">
      <c r="A342" s="2" t="s">
        <v>25</v>
      </c>
      <c r="B342" s="3" t="s">
        <v>82</v>
      </c>
      <c r="C342" s="2" t="str">
        <f>INDEX(รายการสาร!$B:$B,MATCH($B342,รายการสาร!$A:$A,0))</f>
        <v>Acetone</v>
      </c>
      <c r="D342" s="2" t="str">
        <f>INDEX(รายการสาร!$C:$C,MATCH($B342,รายการสาร!$A:$A,0))</f>
        <v>Acetone</v>
      </c>
      <c r="E342" s="2" t="s">
        <v>530</v>
      </c>
      <c r="F342" s="2" t="s">
        <v>119</v>
      </c>
      <c r="G342" s="3"/>
      <c r="H342" s="3" t="s">
        <v>23</v>
      </c>
      <c r="I342" s="3"/>
      <c r="J342" s="3"/>
      <c r="K342" s="3"/>
      <c r="L342" s="3"/>
      <c r="M342" s="3" t="s">
        <v>23</v>
      </c>
      <c r="N342" s="3"/>
      <c r="O342" s="3" t="s">
        <v>23</v>
      </c>
      <c r="P342" s="3"/>
      <c r="Q342" s="3" t="s">
        <v>23</v>
      </c>
      <c r="R342" s="3" t="s">
        <v>23</v>
      </c>
      <c r="S342" s="3"/>
      <c r="T342" s="3"/>
      <c r="U342" s="3"/>
      <c r="V342" s="3"/>
      <c r="W342" s="3" t="s">
        <v>23</v>
      </c>
    </row>
    <row r="343" spans="1:23" ht="27.6" x14ac:dyDescent="0.25">
      <c r="A343" s="2" t="s">
        <v>25</v>
      </c>
      <c r="B343" s="3" t="s">
        <v>20</v>
      </c>
      <c r="C343" s="2" t="str">
        <f>INDEX(รายการสาร!$B:$B,MATCH($B343,รายการสาร!$A:$A,0))</f>
        <v>คิมแคร์สบู่เหลวล้างมือ</v>
      </c>
      <c r="D343" s="2" t="str">
        <f>INDEX(รายการสาร!$C:$C,MATCH($B343,รายการสาร!$A:$A,0))</f>
        <v>Kimcare</v>
      </c>
      <c r="E343" s="2" t="s">
        <v>250</v>
      </c>
      <c r="F343" s="2" t="s">
        <v>117</v>
      </c>
      <c r="G343" s="3"/>
      <c r="H343" s="3"/>
      <c r="I343" s="3"/>
      <c r="J343" s="3"/>
      <c r="K343" s="3"/>
      <c r="L343" s="3"/>
      <c r="M343" s="3"/>
      <c r="N343" s="3"/>
      <c r="O343" s="3" t="s">
        <v>23</v>
      </c>
      <c r="P343" s="3"/>
      <c r="Q343" s="3" t="s">
        <v>23</v>
      </c>
      <c r="R343" s="3" t="s">
        <v>23</v>
      </c>
      <c r="S343" s="3"/>
      <c r="T343" s="3"/>
      <c r="U343" s="3"/>
      <c r="V343" s="3"/>
      <c r="W343" s="3"/>
    </row>
    <row r="344" spans="1:23" ht="27.6" x14ac:dyDescent="0.25">
      <c r="A344" s="2" t="s">
        <v>25</v>
      </c>
      <c r="B344" s="3" t="s">
        <v>30</v>
      </c>
      <c r="C344" s="2" t="str">
        <f>INDEX(รายการสาร!$B:$B,MATCH($B344,รายการสาร!$A:$A,0))</f>
        <v>Ammonia</v>
      </c>
      <c r="D344" s="2" t="str">
        <f>INDEX(รายการสาร!$C:$C,MATCH($B344,รายการสาร!$A:$A,0))</f>
        <v>Ammonia</v>
      </c>
      <c r="E344" s="2" t="s">
        <v>227</v>
      </c>
      <c r="F344" s="2" t="s">
        <v>119</v>
      </c>
      <c r="G344" s="3"/>
      <c r="H344" s="3"/>
      <c r="I344" s="3"/>
      <c r="J344" s="3" t="s">
        <v>23</v>
      </c>
      <c r="K344" s="3" t="s">
        <v>23</v>
      </c>
      <c r="L344" s="3"/>
      <c r="M344" s="3" t="s">
        <v>23</v>
      </c>
      <c r="N344" s="3"/>
      <c r="O344" s="3"/>
      <c r="P344" s="3"/>
      <c r="Q344" s="3" t="s">
        <v>23</v>
      </c>
      <c r="R344" s="3" t="s">
        <v>23</v>
      </c>
      <c r="S344" s="3"/>
      <c r="T344" s="3"/>
      <c r="U344" s="3"/>
      <c r="V344" s="3"/>
      <c r="W344" s="3"/>
    </row>
    <row r="345" spans="1:23" ht="27.6" customHeight="1" x14ac:dyDescent="0.25">
      <c r="A345" s="2" t="s">
        <v>25</v>
      </c>
      <c r="B345" s="3" t="s">
        <v>80</v>
      </c>
      <c r="C345" s="2" t="str">
        <f>INDEX(รายการสาร!$B:$B,MATCH($B345,รายการสาร!$A:$A,0))</f>
        <v>Hydrogen peroxide</v>
      </c>
      <c r="D345" s="2" t="str">
        <f>INDEX(รายการสาร!$C:$C,MATCH($B345,รายการสาร!$A:$A,0))</f>
        <v>Hydrogen peroxide</v>
      </c>
      <c r="E345" s="2" t="s">
        <v>123</v>
      </c>
      <c r="F345" s="2" t="s">
        <v>119</v>
      </c>
      <c r="G345" s="3" t="s">
        <v>23</v>
      </c>
      <c r="H345" s="3"/>
      <c r="I345" s="3"/>
      <c r="J345" s="3"/>
      <c r="K345" s="3" t="s">
        <v>23</v>
      </c>
      <c r="L345" s="3"/>
      <c r="M345" s="3"/>
      <c r="N345" s="3"/>
      <c r="O345" s="3"/>
      <c r="P345" s="3"/>
      <c r="Q345" s="3" t="s">
        <v>23</v>
      </c>
      <c r="R345" s="3"/>
      <c r="S345" s="3"/>
      <c r="T345" s="3"/>
      <c r="U345" s="3"/>
      <c r="V345" s="3"/>
      <c r="W345" s="3"/>
    </row>
    <row r="346" spans="1:23" ht="27.6" x14ac:dyDescent="0.25">
      <c r="A346" s="2" t="s">
        <v>25</v>
      </c>
      <c r="B346" s="3" t="s">
        <v>45</v>
      </c>
      <c r="C346" s="2" t="str">
        <f>INDEX(รายการสาร!$B:$B,MATCH($B346,รายการสาร!$A:$A,0))</f>
        <v>Alcohol Pad</v>
      </c>
      <c r="D346" s="2" t="str">
        <f>INDEX(รายการสาร!$C:$C,MATCH($B346,รายการสาร!$A:$A,0))</f>
        <v>Neoplast</v>
      </c>
      <c r="E346" s="2" t="s">
        <v>531</v>
      </c>
      <c r="F346" s="2" t="s">
        <v>119</v>
      </c>
      <c r="G346" s="3"/>
      <c r="H346" s="3" t="s">
        <v>23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 t="s">
        <v>23</v>
      </c>
    </row>
    <row r="347" spans="1:23" ht="27.6" customHeight="1" x14ac:dyDescent="0.25">
      <c r="A347" s="2" t="s">
        <v>25</v>
      </c>
      <c r="B347" s="3" t="s">
        <v>532</v>
      </c>
      <c r="C347" s="2" t="str">
        <f>INDEX(รายการสาร!$B:$B,MATCH($B347,รายการสาร!$A:$A,0))</f>
        <v>70% alcohol 180 cc</v>
      </c>
      <c r="D347" s="2" t="str">
        <f>INDEX(รายการสาร!$C:$C,MATCH($B347,รายการสาร!$A:$A,0))</f>
        <v>Preservative solution 70%</v>
      </c>
      <c r="E347" s="2" t="s">
        <v>533</v>
      </c>
      <c r="F347" s="2" t="s">
        <v>119</v>
      </c>
      <c r="G347" s="3"/>
      <c r="H347" s="3" t="s">
        <v>23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 t="s">
        <v>23</v>
      </c>
    </row>
    <row r="348" spans="1:23" ht="27.6" x14ac:dyDescent="0.25">
      <c r="A348" s="2" t="s">
        <v>25</v>
      </c>
      <c r="B348" s="3" t="s">
        <v>296</v>
      </c>
      <c r="C348" s="2" t="str">
        <f>INDEX(รายการสาร!$B:$B,MATCH($B348,รายการสาร!$A:$A,0))</f>
        <v>2% chlohexidine in 70% alcohol</v>
      </c>
      <c r="D348" s="2" t="str">
        <f>INDEX(รายการสาร!$C:$C,MATCH($B348,รายการสาร!$A:$A,0))</f>
        <v>Prepskin-C</v>
      </c>
      <c r="E348" s="2" t="s">
        <v>255</v>
      </c>
      <c r="F348" s="2" t="s">
        <v>119</v>
      </c>
      <c r="G348" s="3"/>
      <c r="H348" s="3" t="s">
        <v>23</v>
      </c>
      <c r="I348" s="3"/>
      <c r="J348" s="3"/>
      <c r="K348" s="3"/>
      <c r="L348" s="3"/>
      <c r="M348" s="3"/>
      <c r="N348" s="3"/>
      <c r="O348" s="3" t="s">
        <v>23</v>
      </c>
      <c r="P348" s="3"/>
      <c r="Q348" s="3" t="s">
        <v>23</v>
      </c>
      <c r="R348" s="3"/>
      <c r="S348" s="3"/>
      <c r="T348" s="3"/>
      <c r="U348" s="3"/>
      <c r="V348" s="3"/>
      <c r="W348" s="3" t="s">
        <v>23</v>
      </c>
    </row>
    <row r="349" spans="1:23" ht="27.6" x14ac:dyDescent="0.25">
      <c r="A349" s="2" t="s">
        <v>25</v>
      </c>
      <c r="B349" s="3" t="s">
        <v>40</v>
      </c>
      <c r="C349" s="2" t="str">
        <f>INDEX(รายการสาร!$B:$B,MATCH($B349,รายการสาร!$A:$A,0))</f>
        <v>Betadine</v>
      </c>
      <c r="D349" s="2" t="str">
        <f>INDEX(รายการสาร!$C:$C,MATCH($B349,รายการสาร!$A:$A,0))</f>
        <v>Betadine</v>
      </c>
      <c r="E349" s="2" t="s">
        <v>534</v>
      </c>
      <c r="F349" s="2" t="s">
        <v>119</v>
      </c>
      <c r="G349" s="3"/>
      <c r="H349" s="3"/>
      <c r="I349" s="3"/>
      <c r="J349" s="3"/>
      <c r="K349" s="3"/>
      <c r="L349" s="3"/>
      <c r="M349" s="3"/>
      <c r="N349" s="3"/>
      <c r="O349" s="3" t="s">
        <v>23</v>
      </c>
      <c r="P349" s="3"/>
      <c r="Q349" s="3" t="s">
        <v>23</v>
      </c>
      <c r="R349" s="3"/>
      <c r="S349" s="3"/>
      <c r="T349" s="3"/>
      <c r="U349" s="3"/>
      <c r="V349" s="3"/>
      <c r="W349" s="3"/>
    </row>
    <row r="350" spans="1:23" ht="27.6" x14ac:dyDescent="0.25">
      <c r="A350" s="2" t="s">
        <v>25</v>
      </c>
      <c r="B350" s="3" t="s">
        <v>35</v>
      </c>
      <c r="C350" s="2" t="str">
        <f>INDEX(รายการสาร!$B:$B,MATCH($B350,รายการสาร!$A:$A,0))</f>
        <v>Alcohol Gel</v>
      </c>
      <c r="D350" s="2" t="str">
        <f>INDEX(รายการสาร!$C:$C,MATCH($B350,รายการสาร!$A:$A,0))</f>
        <v>Clear Hand Gel</v>
      </c>
      <c r="E350" s="2" t="s">
        <v>535</v>
      </c>
      <c r="F350" s="2" t="s">
        <v>119</v>
      </c>
      <c r="G350" s="3"/>
      <c r="H350" s="3" t="s">
        <v>23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 t="s">
        <v>23</v>
      </c>
    </row>
    <row r="351" spans="1:23" ht="27.6" x14ac:dyDescent="0.25">
      <c r="A351" s="2" t="s">
        <v>25</v>
      </c>
      <c r="B351" s="3" t="s">
        <v>536</v>
      </c>
      <c r="C351" s="2" t="str">
        <f>INDEX(รายการสาร!$B:$B,MATCH($B351,รายการสาร!$A:$A,0))</f>
        <v>CHLORHEXIDINE SCRUB 4%</v>
      </c>
      <c r="D351" s="2" t="str">
        <f>INDEX(รายการสาร!$C:$C,MATCH($B351,รายการสาร!$A:$A,0))</f>
        <v>Hexene Scrub</v>
      </c>
      <c r="E351" s="2" t="s">
        <v>537</v>
      </c>
      <c r="F351" s="2" t="s">
        <v>119</v>
      </c>
      <c r="G351" s="3"/>
      <c r="H351" s="3"/>
      <c r="I351" s="3"/>
      <c r="J351" s="3"/>
      <c r="K351" s="3"/>
      <c r="L351" s="3"/>
      <c r="M351" s="3"/>
      <c r="N351" s="3"/>
      <c r="O351" s="3" t="s">
        <v>23</v>
      </c>
      <c r="P351" s="3"/>
      <c r="Q351" s="3" t="s">
        <v>23</v>
      </c>
      <c r="R351" s="3"/>
      <c r="S351" s="3"/>
      <c r="T351" s="3"/>
      <c r="U351" s="3"/>
      <c r="V351" s="3"/>
      <c r="W351" s="3"/>
    </row>
    <row r="352" spans="1:23" ht="41.4" customHeight="1" x14ac:dyDescent="0.25">
      <c r="A352" s="2" t="s">
        <v>25</v>
      </c>
      <c r="B352" s="3" t="s">
        <v>113</v>
      </c>
      <c r="C352" s="2" t="str">
        <f>INDEX(รายการสาร!$B:$B,MATCH($B352,รายการสาร!$A:$A,0))</f>
        <v>น้ำยาล้างจาน</v>
      </c>
      <c r="D352" s="2" t="str">
        <f>INDEX(รายการสาร!$C:$C,MATCH($B352,รายการสาร!$A:$A,0))</f>
        <v>ไลปอนเอฟ หรือ มาวิน หรือ ซันไลต์</v>
      </c>
      <c r="E352" s="2" t="s">
        <v>114</v>
      </c>
      <c r="F352" s="2" t="s">
        <v>109</v>
      </c>
      <c r="G352" s="3"/>
      <c r="H352" s="3"/>
      <c r="I352" s="3"/>
      <c r="J352" s="3"/>
      <c r="K352" s="3"/>
      <c r="L352" s="3"/>
      <c r="M352" s="3"/>
      <c r="N352" s="3"/>
      <c r="O352" s="3" t="s">
        <v>23</v>
      </c>
      <c r="P352" s="3"/>
      <c r="Q352" s="3"/>
      <c r="R352" s="3"/>
      <c r="S352" s="3"/>
      <c r="T352" s="3"/>
      <c r="U352" s="3"/>
      <c r="V352" s="3"/>
      <c r="W352" s="3"/>
    </row>
    <row r="353" spans="1:23" ht="27.6" x14ac:dyDescent="0.25">
      <c r="A353" s="2" t="s">
        <v>25</v>
      </c>
      <c r="B353" s="3" t="s">
        <v>32</v>
      </c>
      <c r="C353" s="2" t="str">
        <f>INDEX(รายการสาร!$B:$B,MATCH($B353,รายการสาร!$A:$A,0))</f>
        <v>Gel ล้างมือติดผนัง</v>
      </c>
      <c r="D353" s="2" t="str">
        <f>INDEX(รายการสาร!$C:$C,MATCH($B353,รายการสาร!$A:$A,0))</f>
        <v>Purell</v>
      </c>
      <c r="E353" s="2" t="s">
        <v>128</v>
      </c>
      <c r="F353" s="2" t="s">
        <v>112</v>
      </c>
      <c r="G353" s="3"/>
      <c r="H353" s="3" t="s">
        <v>23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 t="s">
        <v>23</v>
      </c>
    </row>
    <row r="354" spans="1:23" x14ac:dyDescent="0.25">
      <c r="A354" s="2" t="s">
        <v>88</v>
      </c>
      <c r="B354" s="3" t="s">
        <v>538</v>
      </c>
      <c r="C354" s="2" t="str">
        <f>INDEX(รายการสาร!$B:$B,MATCH($B354,รายการสาร!$A:$A,0))</f>
        <v>Hexene Scrub</v>
      </c>
      <c r="D354" s="2" t="str">
        <f>INDEX(รายการสาร!$C:$C,MATCH($B354,รายการสาร!$A:$A,0))</f>
        <v>Hexene Scrub</v>
      </c>
      <c r="E354" s="2" t="s">
        <v>539</v>
      </c>
      <c r="F354" s="2" t="s">
        <v>119</v>
      </c>
      <c r="G354" s="3"/>
      <c r="H354" s="3"/>
      <c r="I354" s="3"/>
      <c r="J354" s="3"/>
      <c r="K354" s="3"/>
      <c r="L354" s="3"/>
      <c r="M354" s="3"/>
      <c r="N354" s="3"/>
      <c r="O354" s="3" t="s">
        <v>23</v>
      </c>
      <c r="P354" s="3"/>
      <c r="Q354" s="3"/>
      <c r="R354" s="3"/>
      <c r="S354" s="3"/>
      <c r="T354" s="3"/>
      <c r="U354" s="3"/>
      <c r="V354" s="3"/>
      <c r="W354" s="3"/>
    </row>
    <row r="355" spans="1:23" ht="27.6" customHeight="1" x14ac:dyDescent="0.25">
      <c r="A355" s="2" t="s">
        <v>88</v>
      </c>
      <c r="B355" s="3" t="s">
        <v>60</v>
      </c>
      <c r="C355" s="2" t="str">
        <f>INDEX(รายการสาร!$B:$B,MATCH($B355,รายการสาร!$A:$A,0))</f>
        <v>GER-MA-WAY Disinfectant</v>
      </c>
      <c r="D355" s="2" t="str">
        <f>INDEX(รายการสาร!$C:$C,MATCH($B355,รายการสาร!$A:$A,0))</f>
        <v>GER-MA-WAY Disinfectant</v>
      </c>
      <c r="E355" s="2" t="s">
        <v>365</v>
      </c>
      <c r="F355" s="2" t="s">
        <v>119</v>
      </c>
      <c r="G355" s="3"/>
      <c r="H355" s="3"/>
      <c r="I355" s="3"/>
      <c r="J355" s="3"/>
      <c r="K355" s="3"/>
      <c r="L355" s="3"/>
      <c r="M355" s="3"/>
      <c r="N355" s="3"/>
      <c r="O355" s="3" t="s">
        <v>23</v>
      </c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2" t="s">
        <v>88</v>
      </c>
      <c r="B356" s="3" t="s">
        <v>40</v>
      </c>
      <c r="C356" s="2" t="str">
        <f>INDEX(รายการสาร!$B:$B,MATCH($B356,รายการสาร!$A:$A,0))</f>
        <v>Betadine</v>
      </c>
      <c r="D356" s="2" t="str">
        <f>INDEX(รายการสาร!$C:$C,MATCH($B356,รายการสาร!$A:$A,0))</f>
        <v>Betadine</v>
      </c>
      <c r="E356" s="2" t="s">
        <v>232</v>
      </c>
      <c r="F356" s="2" t="s">
        <v>119</v>
      </c>
      <c r="G356" s="3"/>
      <c r="H356" s="3"/>
      <c r="I356" s="3"/>
      <c r="J356" s="3"/>
      <c r="K356" s="3"/>
      <c r="L356" s="3"/>
      <c r="M356" s="3"/>
      <c r="N356" s="3"/>
      <c r="O356" s="3" t="s">
        <v>23</v>
      </c>
      <c r="P356" s="3"/>
      <c r="Q356" s="3" t="s">
        <v>23</v>
      </c>
      <c r="R356" s="3"/>
      <c r="S356" s="3"/>
      <c r="T356" s="3"/>
      <c r="U356" s="3"/>
      <c r="V356" s="3"/>
      <c r="W356" s="3"/>
    </row>
    <row r="357" spans="1:23" x14ac:dyDescent="0.25">
      <c r="A357" s="2" t="s">
        <v>88</v>
      </c>
      <c r="B357" s="3" t="s">
        <v>45</v>
      </c>
      <c r="C357" s="2" t="str">
        <f>INDEX(รายการสาร!$B:$B,MATCH($B357,รายการสาร!$A:$A,0))</f>
        <v>Alcohol Pad</v>
      </c>
      <c r="D357" s="2" t="str">
        <f>INDEX(รายการสาร!$C:$C,MATCH($B357,รายการสาร!$A:$A,0))</f>
        <v>Neoplast</v>
      </c>
      <c r="E357" s="2" t="s">
        <v>508</v>
      </c>
      <c r="F357" s="2" t="s">
        <v>119</v>
      </c>
      <c r="G357" s="3"/>
      <c r="H357" s="3" t="s">
        <v>23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 t="s">
        <v>23</v>
      </c>
    </row>
    <row r="358" spans="1:23" ht="27.6" customHeight="1" x14ac:dyDescent="0.25">
      <c r="A358" s="2" t="s">
        <v>88</v>
      </c>
      <c r="B358" s="3" t="s">
        <v>540</v>
      </c>
      <c r="C358" s="2" t="str">
        <f>INDEX(รายการสาร!$B:$B,MATCH($B358,รายการสาร!$A:$A,0))</f>
        <v>70% Alcohol (60 ml)</v>
      </c>
      <c r="D358" s="2" t="str">
        <f>INDEX(รายการสาร!$C:$C,MATCH($B358,รายการสาร!$A:$A,0))</f>
        <v>Preservative solution 70%</v>
      </c>
      <c r="E358" s="2" t="s">
        <v>541</v>
      </c>
      <c r="F358" s="2" t="s">
        <v>119</v>
      </c>
      <c r="G358" s="3"/>
      <c r="H358" s="3" t="s">
        <v>23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 t="s">
        <v>23</v>
      </c>
    </row>
    <row r="359" spans="1:23" x14ac:dyDescent="0.25">
      <c r="A359" s="2" t="s">
        <v>88</v>
      </c>
      <c r="B359" s="3" t="s">
        <v>542</v>
      </c>
      <c r="C359" s="2" t="str">
        <f>INDEX(รายการสาร!$B:$B,MATCH($B359,รายการสาร!$A:$A,0))</f>
        <v>Q-Bac in alcohol</v>
      </c>
      <c r="D359" s="2" t="str">
        <f>INDEX(รายการสาร!$C:$C,MATCH($B359,รายการสาร!$A:$A,0))</f>
        <v>prepskin-C</v>
      </c>
      <c r="E359" s="2" t="s">
        <v>543</v>
      </c>
      <c r="F359" s="2" t="s">
        <v>119</v>
      </c>
      <c r="G359" s="3"/>
      <c r="H359" s="3" t="s">
        <v>23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 t="s">
        <v>23</v>
      </c>
    </row>
    <row r="360" spans="1:23" ht="41.4" customHeight="1" x14ac:dyDescent="0.25">
      <c r="A360" s="2" t="s">
        <v>88</v>
      </c>
      <c r="B360" s="3" t="s">
        <v>344</v>
      </c>
      <c r="C360" s="2" t="str">
        <f>INDEX(รายการสาร!$B:$B,MATCH($B360,รายการสาร!$A:$A,0))</f>
        <v>CAVILON DURABLE BARRIER 3M</v>
      </c>
      <c r="D360" s="2" t="str">
        <f>INDEX(รายการสาร!$C:$C,MATCH($B360,รายการสาร!$A:$A,0))</f>
        <v>CAVILON DURABLE BARRIER 3M</v>
      </c>
      <c r="E360" s="2" t="s">
        <v>544</v>
      </c>
      <c r="F360" s="2" t="s">
        <v>119</v>
      </c>
      <c r="G360" s="3"/>
      <c r="H360" s="3"/>
      <c r="I360" s="3"/>
      <c r="J360" s="3"/>
      <c r="K360" s="3"/>
      <c r="L360" s="3"/>
      <c r="M360" s="3"/>
      <c r="N360" s="3"/>
      <c r="O360" s="3" t="s">
        <v>23</v>
      </c>
      <c r="P360" s="3"/>
      <c r="Q360" s="3"/>
      <c r="R360" s="3"/>
      <c r="S360" s="3"/>
      <c r="T360" s="3"/>
      <c r="U360" s="3"/>
      <c r="V360" s="3"/>
      <c r="W360" s="3"/>
    </row>
    <row r="361" spans="1:23" ht="41.4" customHeight="1" x14ac:dyDescent="0.25">
      <c r="A361" s="2" t="s">
        <v>88</v>
      </c>
      <c r="B361" s="3" t="s">
        <v>346</v>
      </c>
      <c r="C361" s="2" t="str">
        <f>INDEX(รายการสาร!$B:$B,MATCH($B361,รายการสาร!$A:$A,0))</f>
        <v>CAVILON NO-RINSE SKIN CLEANSER</v>
      </c>
      <c r="D361" s="2" t="str">
        <f>INDEX(รายการสาร!$C:$C,MATCH($B361,รายการสาร!$A:$A,0))</f>
        <v>CAVILON NO-RINSE SKIN CLEANSER</v>
      </c>
      <c r="E361" s="2" t="s">
        <v>545</v>
      </c>
      <c r="F361" s="2" t="s">
        <v>119</v>
      </c>
      <c r="G361" s="3"/>
      <c r="H361" s="3"/>
      <c r="I361" s="3"/>
      <c r="J361" s="3"/>
      <c r="K361" s="3"/>
      <c r="L361" s="3"/>
      <c r="M361" s="3"/>
      <c r="N361" s="3"/>
      <c r="O361" s="3" t="s">
        <v>23</v>
      </c>
      <c r="P361" s="3"/>
      <c r="Q361" s="3"/>
      <c r="R361" s="3"/>
      <c r="S361" s="3"/>
      <c r="T361" s="3"/>
      <c r="U361" s="3"/>
      <c r="V361" s="3"/>
      <c r="W361" s="3"/>
    </row>
    <row r="362" spans="1:23" ht="41.4" customHeight="1" x14ac:dyDescent="0.25">
      <c r="A362" s="2" t="s">
        <v>88</v>
      </c>
      <c r="B362" s="3" t="s">
        <v>348</v>
      </c>
      <c r="C362" s="2" t="str">
        <f>INDEX(รายการสาร!$B:$B,MATCH($B362,รายการสาร!$A:$A,0))</f>
        <v>Cavilon No sting Barrier film spray</v>
      </c>
      <c r="D362" s="2" t="str">
        <f>INDEX(รายการสาร!$C:$C,MATCH($B362,รายการสาร!$A:$A,0))</f>
        <v>Cavilon No sting Barrier film spray</v>
      </c>
      <c r="E362" s="2" t="s">
        <v>545</v>
      </c>
      <c r="F362" s="2" t="s">
        <v>119</v>
      </c>
      <c r="G362" s="3"/>
      <c r="H362" s="3"/>
      <c r="I362" s="3"/>
      <c r="J362" s="3"/>
      <c r="K362" s="3"/>
      <c r="L362" s="3"/>
      <c r="M362" s="3"/>
      <c r="N362" s="3"/>
      <c r="O362" s="3" t="s">
        <v>23</v>
      </c>
      <c r="P362" s="3"/>
      <c r="Q362" s="3"/>
      <c r="R362" s="3"/>
      <c r="S362" s="3"/>
      <c r="T362" s="3"/>
      <c r="U362" s="3"/>
      <c r="V362" s="3"/>
      <c r="W362" s="3"/>
    </row>
    <row r="363" spans="1:23" ht="41.4" customHeight="1" x14ac:dyDescent="0.25">
      <c r="A363" s="2" t="s">
        <v>88</v>
      </c>
      <c r="B363" s="3" t="s">
        <v>113</v>
      </c>
      <c r="C363" s="2" t="str">
        <f>INDEX(รายการสาร!$B:$B,MATCH($B363,รายการสาร!$A:$A,0))</f>
        <v>น้ำยาล้างจาน</v>
      </c>
      <c r="D363" s="2" t="str">
        <f>INDEX(รายการสาร!$C:$C,MATCH($B363,รายการสาร!$A:$A,0))</f>
        <v>ไลปอนเอฟ หรือ มาวิน หรือ ซันไลต์</v>
      </c>
      <c r="E363" s="2" t="s">
        <v>111</v>
      </c>
      <c r="F363" s="2" t="s">
        <v>119</v>
      </c>
      <c r="G363" s="3"/>
      <c r="H363" s="3"/>
      <c r="I363" s="3"/>
      <c r="J363" s="3"/>
      <c r="K363" s="3"/>
      <c r="L363" s="3"/>
      <c r="M363" s="3"/>
      <c r="N363" s="3"/>
      <c r="O363" s="3" t="s">
        <v>23</v>
      </c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2" t="s">
        <v>88</v>
      </c>
      <c r="B364" s="3" t="s">
        <v>57</v>
      </c>
      <c r="C364" s="2" t="str">
        <f>INDEX(รายการสาร!$B:$B,MATCH($B364,รายการสาร!$A:$A,0))</f>
        <v>Q-bac4 soap liquid</v>
      </c>
      <c r="D364" s="2" t="str">
        <f>INDEX(รายการสาร!$C:$C,MATCH($B364,รายการสาร!$A:$A,0))</f>
        <v>Q-bac4</v>
      </c>
      <c r="E364" s="2" t="s">
        <v>128</v>
      </c>
      <c r="F364" s="2" t="s">
        <v>117</v>
      </c>
      <c r="G364" s="3"/>
      <c r="H364" s="3" t="s">
        <v>23</v>
      </c>
      <c r="I364" s="3"/>
      <c r="J364" s="3"/>
      <c r="K364" s="3"/>
      <c r="L364" s="3"/>
      <c r="M364" s="3" t="s">
        <v>23</v>
      </c>
      <c r="N364" s="3"/>
      <c r="O364" s="3"/>
      <c r="P364" s="3"/>
      <c r="Q364" s="3" t="s">
        <v>23</v>
      </c>
      <c r="R364" s="3"/>
      <c r="S364" s="3"/>
      <c r="T364" s="3"/>
      <c r="U364" s="3"/>
      <c r="V364" s="3"/>
      <c r="W364" s="3" t="s">
        <v>23</v>
      </c>
    </row>
    <row r="365" spans="1:23" x14ac:dyDescent="0.25">
      <c r="A365" s="2" t="s">
        <v>88</v>
      </c>
      <c r="B365" s="3" t="s">
        <v>32</v>
      </c>
      <c r="C365" s="2" t="str">
        <f>INDEX(รายการสาร!$B:$B,MATCH($B365,รายการสาร!$A:$A,0))</f>
        <v>Gel ล้างมือติดผนัง</v>
      </c>
      <c r="D365" s="2" t="str">
        <f>INDEX(รายการสาร!$C:$C,MATCH($B365,รายการสาร!$A:$A,0))</f>
        <v>Purell</v>
      </c>
      <c r="E365" s="2" t="s">
        <v>128</v>
      </c>
      <c r="F365" s="2" t="s">
        <v>129</v>
      </c>
      <c r="G365" s="3"/>
      <c r="H365" s="3" t="s">
        <v>23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 t="s">
        <v>23</v>
      </c>
    </row>
    <row r="366" spans="1:23" x14ac:dyDescent="0.25">
      <c r="A366" s="2" t="s">
        <v>88</v>
      </c>
      <c r="B366" s="3" t="s">
        <v>35</v>
      </c>
      <c r="C366" s="2" t="str">
        <f>INDEX(รายการสาร!$B:$B,MATCH($B366,รายการสาร!$A:$A,0))</f>
        <v>Alcohol Gel</v>
      </c>
      <c r="D366" s="2" t="str">
        <f>INDEX(รายการสาร!$C:$C,MATCH($B366,รายการสาร!$A:$A,0))</f>
        <v>Clear Hand Gel</v>
      </c>
      <c r="E366" s="2" t="s">
        <v>546</v>
      </c>
      <c r="F366" s="2" t="s">
        <v>119</v>
      </c>
      <c r="G366" s="3"/>
      <c r="H366" s="3" t="s">
        <v>23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 t="s">
        <v>23</v>
      </c>
    </row>
    <row r="367" spans="1:23" x14ac:dyDescent="0.25">
      <c r="A367" s="2" t="s">
        <v>88</v>
      </c>
      <c r="B367" s="3" t="s">
        <v>20</v>
      </c>
      <c r="C367" s="2" t="str">
        <f>INDEX(รายการสาร!$B:$B,MATCH($B367,รายการสาร!$A:$A,0))</f>
        <v>คิมแคร์สบู่เหลวล้างมือ</v>
      </c>
      <c r="D367" s="2" t="str">
        <f>INDEX(รายการสาร!$C:$C,MATCH($B367,รายการสาร!$A:$A,0))</f>
        <v>Kimcare</v>
      </c>
      <c r="E367" s="2" t="s">
        <v>250</v>
      </c>
      <c r="F367" s="2" t="s">
        <v>547</v>
      </c>
      <c r="G367" s="3"/>
      <c r="H367" s="3"/>
      <c r="I367" s="3"/>
      <c r="J367" s="3"/>
      <c r="K367" s="3"/>
      <c r="L367" s="3"/>
      <c r="M367" s="3"/>
      <c r="N367" s="3"/>
      <c r="O367" s="3" t="s">
        <v>23</v>
      </c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2" t="s">
        <v>88</v>
      </c>
      <c r="B368" s="3" t="s">
        <v>85</v>
      </c>
      <c r="C368" s="2" t="str">
        <f>INDEX(รายการสาร!$B:$B,MATCH($B368,รายการสาร!$A:$A,0))</f>
        <v>Oxygen</v>
      </c>
      <c r="D368" s="2" t="str">
        <f>INDEX(รายการสาร!$C:$C,MATCH($B368,รายการสาร!$A:$A,0))</f>
        <v>Oxygen</v>
      </c>
      <c r="E368" s="2" t="s">
        <v>548</v>
      </c>
      <c r="F368" s="2" t="s">
        <v>549</v>
      </c>
      <c r="G368" s="3"/>
      <c r="H368" s="3" t="s">
        <v>23</v>
      </c>
      <c r="I368" s="3"/>
      <c r="J368" s="3"/>
      <c r="K368" s="3"/>
      <c r="L368" s="3"/>
      <c r="M368" s="3"/>
      <c r="N368" s="3"/>
      <c r="O368" s="3" t="s">
        <v>23</v>
      </c>
      <c r="P368" s="3"/>
      <c r="Q368" s="3"/>
      <c r="R368" s="3"/>
      <c r="S368" s="3"/>
      <c r="T368" s="3"/>
      <c r="U368" s="3"/>
      <c r="V368" s="3"/>
      <c r="W368" s="3" t="s">
        <v>23</v>
      </c>
    </row>
    <row r="369" spans="1:23" x14ac:dyDescent="0.25">
      <c r="A369" s="2" t="s">
        <v>88</v>
      </c>
      <c r="B369" s="3" t="s">
        <v>550</v>
      </c>
      <c r="C369" s="2" t="str">
        <f>INDEX(รายการสาร!$B:$B,MATCH($B369,รายการสาร!$A:$A,0))</f>
        <v>น้ำยาล้าง bed pan</v>
      </c>
      <c r="D369" s="2" t="str">
        <f>INDEX(รายการสาร!$C:$C,MATCH($B369,รายการสาร!$A:$A,0))</f>
        <v>DOYEN</v>
      </c>
      <c r="E369" s="2" t="s">
        <v>148</v>
      </c>
      <c r="F369" s="2" t="s">
        <v>551</v>
      </c>
      <c r="G369" s="3"/>
      <c r="H369" s="3"/>
      <c r="I369" s="3"/>
      <c r="J369" s="3"/>
      <c r="K369" s="3" t="s">
        <v>23</v>
      </c>
      <c r="L369" s="3"/>
      <c r="M369" s="3"/>
      <c r="N369" s="3"/>
      <c r="O369" s="3"/>
      <c r="P369" s="3"/>
      <c r="Q369" s="3" t="s">
        <v>23</v>
      </c>
      <c r="R369" s="3" t="s">
        <v>23</v>
      </c>
      <c r="S369" s="3" t="s">
        <v>23</v>
      </c>
      <c r="T369" s="3"/>
      <c r="U369" s="3"/>
      <c r="V369" s="3"/>
      <c r="W369" s="3"/>
    </row>
    <row r="370" spans="1:23" x14ac:dyDescent="0.25">
      <c r="A370" s="2" t="s">
        <v>62</v>
      </c>
      <c r="B370" s="3" t="s">
        <v>35</v>
      </c>
      <c r="C370" s="2" t="str">
        <f>INDEX(รายการสาร!$B:$B,MATCH($B370,รายการสาร!$A:$A,0))</f>
        <v>Alcohol Gel</v>
      </c>
      <c r="D370" s="2" t="str">
        <f>INDEX(รายการสาร!$C:$C,MATCH($B370,รายการสาร!$A:$A,0))</f>
        <v>Clear Hand Gel</v>
      </c>
      <c r="E370" s="2" t="s">
        <v>535</v>
      </c>
      <c r="F370" s="2" t="s">
        <v>552</v>
      </c>
      <c r="G370" s="3"/>
      <c r="H370" s="3" t="s">
        <v>23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 t="s">
        <v>23</v>
      </c>
    </row>
    <row r="371" spans="1:23" x14ac:dyDescent="0.25">
      <c r="A371" s="2" t="s">
        <v>62</v>
      </c>
      <c r="B371" s="3" t="s">
        <v>45</v>
      </c>
      <c r="C371" s="2" t="str">
        <f>INDEX(รายการสาร!$B:$B,MATCH($B371,รายการสาร!$A:$A,0))</f>
        <v>Alcohol Pad</v>
      </c>
      <c r="D371" s="2" t="str">
        <f>INDEX(รายการสาร!$C:$C,MATCH($B371,รายการสาร!$A:$A,0))</f>
        <v>Neoplast</v>
      </c>
      <c r="E371" s="2" t="s">
        <v>258</v>
      </c>
      <c r="F371" s="2" t="s">
        <v>552</v>
      </c>
      <c r="G371" s="3"/>
      <c r="H371" s="3" t="s">
        <v>23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 t="s">
        <v>23</v>
      </c>
    </row>
    <row r="372" spans="1:23" x14ac:dyDescent="0.25">
      <c r="A372" s="2" t="s">
        <v>62</v>
      </c>
      <c r="B372" s="3" t="s">
        <v>553</v>
      </c>
      <c r="C372" s="2" t="str">
        <f>INDEX(รายการสาร!$B:$B,MATCH($B372,รายการสาร!$A:$A,0))</f>
        <v>Hexene</v>
      </c>
      <c r="D372" s="2" t="str">
        <f>INDEX(รายการสาร!$C:$C,MATCH($B372,รายการสาร!$A:$A,0))</f>
        <v>Hexene Scrub</v>
      </c>
      <c r="E372" s="2" t="s">
        <v>554</v>
      </c>
      <c r="F372" s="2" t="s">
        <v>552</v>
      </c>
      <c r="G372" s="3"/>
      <c r="H372" s="3"/>
      <c r="I372" s="3"/>
      <c r="J372" s="3"/>
      <c r="K372" s="3"/>
      <c r="L372" s="3"/>
      <c r="M372" s="3"/>
      <c r="N372" s="3"/>
      <c r="O372" s="3" t="s">
        <v>23</v>
      </c>
      <c r="P372" s="3"/>
      <c r="Q372" s="3"/>
      <c r="R372" s="3"/>
      <c r="S372" s="3"/>
      <c r="T372" s="3"/>
      <c r="U372" s="3"/>
      <c r="V372" s="3"/>
      <c r="W372" s="3"/>
    </row>
    <row r="373" spans="1:23" ht="27.6" customHeight="1" x14ac:dyDescent="0.25">
      <c r="A373" s="2" t="s">
        <v>62</v>
      </c>
      <c r="B373" s="3" t="s">
        <v>555</v>
      </c>
      <c r="C373" s="2" t="str">
        <f>INDEX(รายการสาร!$B:$B,MATCH($B373,รายการสาร!$A:$A,0))</f>
        <v>Hexide cream</v>
      </c>
      <c r="D373" s="2" t="str">
        <f>INDEX(รายการสาร!$C:$C,MATCH($B373,รายการสาร!$A:$A,0))</f>
        <v>Chlorhexidine Gluconate 1g</v>
      </c>
      <c r="E373" s="2" t="s">
        <v>556</v>
      </c>
      <c r="F373" s="2" t="s">
        <v>552</v>
      </c>
      <c r="G373" s="3"/>
      <c r="H373" s="3"/>
      <c r="I373" s="3"/>
      <c r="J373" s="3"/>
      <c r="K373" s="3"/>
      <c r="L373" s="3"/>
      <c r="M373" s="3" t="s">
        <v>23</v>
      </c>
      <c r="N373" s="3"/>
      <c r="O373" s="3"/>
      <c r="P373" s="3"/>
      <c r="Q373" s="3" t="s">
        <v>23</v>
      </c>
      <c r="R373" s="3" t="s">
        <v>23</v>
      </c>
      <c r="S373" s="3" t="s">
        <v>23</v>
      </c>
      <c r="T373" s="3" t="s">
        <v>23</v>
      </c>
      <c r="U373" s="3"/>
      <c r="V373" s="3"/>
      <c r="W373" s="3"/>
    </row>
    <row r="374" spans="1:23" ht="41.4" customHeight="1" x14ac:dyDescent="0.25">
      <c r="A374" s="2" t="s">
        <v>62</v>
      </c>
      <c r="B374" s="3" t="s">
        <v>557</v>
      </c>
      <c r="C374" s="2" t="str">
        <f>INDEX(รายการสาร!$B:$B,MATCH($B374,รายการสาร!$A:$A,0))</f>
        <v>2% Chlorhexidine in water</v>
      </c>
      <c r="D374" s="2" t="str">
        <f>INDEX(รายการสาร!$C:$C,MATCH($B374,รายการสาร!$A:$A,0))</f>
        <v>2% Chlorhexidine in water</v>
      </c>
      <c r="E374" s="2" t="s">
        <v>558</v>
      </c>
      <c r="F374" s="2" t="s">
        <v>552</v>
      </c>
      <c r="G374" s="3"/>
      <c r="H374" s="3"/>
      <c r="I374" s="3"/>
      <c r="J374" s="3"/>
      <c r="K374" s="3"/>
      <c r="L374" s="3"/>
      <c r="M374" s="3"/>
      <c r="N374" s="3"/>
      <c r="O374" s="3" t="s">
        <v>23</v>
      </c>
      <c r="P374" s="3"/>
      <c r="Q374" s="3"/>
      <c r="R374" s="3"/>
      <c r="S374" s="3"/>
      <c r="T374" s="3"/>
      <c r="U374" s="3"/>
      <c r="V374" s="3"/>
      <c r="W374" s="3"/>
    </row>
    <row r="375" spans="1:23" ht="27.6" customHeight="1" x14ac:dyDescent="0.25">
      <c r="A375" s="2" t="s">
        <v>62</v>
      </c>
      <c r="B375" s="3" t="s">
        <v>60</v>
      </c>
      <c r="C375" s="2" t="str">
        <f>INDEX(รายการสาร!$B:$B,MATCH($B375,รายการสาร!$A:$A,0))</f>
        <v>GER-MA-WAY Disinfectant</v>
      </c>
      <c r="D375" s="2" t="str">
        <f>INDEX(รายการสาร!$C:$C,MATCH($B375,รายการสาร!$A:$A,0))</f>
        <v>GER-MA-WAY Disinfectant</v>
      </c>
      <c r="E375" s="2" t="s">
        <v>559</v>
      </c>
      <c r="F375" s="2" t="s">
        <v>552</v>
      </c>
      <c r="G375" s="3"/>
      <c r="H375" s="3" t="s">
        <v>23</v>
      </c>
      <c r="I375" s="3"/>
      <c r="J375" s="3"/>
      <c r="K375" s="3"/>
      <c r="L375" s="3"/>
      <c r="M375" s="3"/>
      <c r="N375" s="3"/>
      <c r="O375" s="3" t="s">
        <v>23</v>
      </c>
      <c r="P375" s="3"/>
      <c r="Q375" s="3"/>
      <c r="R375" s="3"/>
      <c r="S375" s="3"/>
      <c r="T375" s="3"/>
      <c r="U375" s="3"/>
      <c r="V375" s="3"/>
      <c r="W375" s="3" t="s">
        <v>23</v>
      </c>
    </row>
    <row r="376" spans="1:23" ht="41.4" customHeight="1" x14ac:dyDescent="0.25">
      <c r="A376" s="2" t="s">
        <v>62</v>
      </c>
      <c r="B376" s="3" t="s">
        <v>560</v>
      </c>
      <c r="C376" s="2" t="str">
        <f>INDEX(รายการสาร!$B:$B,MATCH($B376,รายการสาร!$A:$A,0))</f>
        <v>0.05% Chlorhexidine in water</v>
      </c>
      <c r="D376" s="2" t="str">
        <f>INDEX(รายการสาร!$C:$C,MATCH($B376,รายการสาร!$A:$A,0))</f>
        <v>0.05% Chlorhexidine in water</v>
      </c>
      <c r="E376" s="2" t="s">
        <v>561</v>
      </c>
      <c r="F376" s="2" t="s">
        <v>552</v>
      </c>
      <c r="G376" s="3"/>
      <c r="H376" s="3"/>
      <c r="I376" s="3"/>
      <c r="J376" s="3"/>
      <c r="K376" s="3"/>
      <c r="L376" s="3"/>
      <c r="M376" s="3"/>
      <c r="N376" s="3"/>
      <c r="O376" s="3" t="s">
        <v>23</v>
      </c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2" t="s">
        <v>62</v>
      </c>
      <c r="B377" s="3" t="s">
        <v>562</v>
      </c>
      <c r="C377" s="2" t="str">
        <f>INDEX(รายการสาร!$B:$B,MATCH($B377,รายการสาร!$A:$A,0))</f>
        <v>Betadine solution</v>
      </c>
      <c r="D377" s="2" t="str">
        <f>INDEX(รายการสาร!$C:$C,MATCH($B377,รายการสาร!$A:$A,0))</f>
        <v>povidone iodine</v>
      </c>
      <c r="E377" s="2" t="s">
        <v>229</v>
      </c>
      <c r="F377" s="2" t="s">
        <v>552</v>
      </c>
      <c r="G377" s="3"/>
      <c r="H377" s="3" t="s">
        <v>23</v>
      </c>
      <c r="I377" s="3"/>
      <c r="J377" s="3"/>
      <c r="K377" s="3"/>
      <c r="L377" s="3"/>
      <c r="M377" s="3" t="s">
        <v>23</v>
      </c>
      <c r="N377" s="3"/>
      <c r="O377" s="3" t="s">
        <v>23</v>
      </c>
      <c r="P377" s="3"/>
      <c r="Q377" s="3" t="s">
        <v>23</v>
      </c>
      <c r="R377" s="3" t="s">
        <v>23</v>
      </c>
      <c r="S377" s="3" t="s">
        <v>23</v>
      </c>
      <c r="T377" s="3" t="s">
        <v>23</v>
      </c>
      <c r="U377" s="3"/>
      <c r="V377" s="3"/>
      <c r="W377" s="3" t="s">
        <v>23</v>
      </c>
    </row>
    <row r="378" spans="1:23" x14ac:dyDescent="0.25">
      <c r="A378" s="2" t="s">
        <v>62</v>
      </c>
      <c r="B378" s="3" t="s">
        <v>563</v>
      </c>
      <c r="C378" s="2" t="str">
        <f>INDEX(รายการสาร!$B:$B,MATCH($B378,รายการสาร!$A:$A,0))</f>
        <v>Betadine sugical Scrub</v>
      </c>
      <c r="D378" s="2" t="str">
        <f>INDEX(รายการสาร!$C:$C,MATCH($B378,รายการสาร!$A:$A,0))</f>
        <v>povidone iodine</v>
      </c>
      <c r="E378" s="2" t="s">
        <v>229</v>
      </c>
      <c r="F378" s="2" t="s">
        <v>552</v>
      </c>
      <c r="G378" s="3"/>
      <c r="H378" s="3"/>
      <c r="I378" s="3"/>
      <c r="J378" s="3"/>
      <c r="K378" s="3"/>
      <c r="L378" s="3"/>
      <c r="M378" s="3"/>
      <c r="N378" s="3"/>
      <c r="O378" s="3" t="s">
        <v>23</v>
      </c>
      <c r="P378" s="3"/>
      <c r="Q378" s="3" t="s">
        <v>23</v>
      </c>
      <c r="R378" s="3"/>
      <c r="S378" s="3"/>
      <c r="T378" s="3"/>
      <c r="U378" s="3"/>
      <c r="V378" s="3"/>
      <c r="W378" s="3"/>
    </row>
    <row r="379" spans="1:23" x14ac:dyDescent="0.25">
      <c r="A379" s="2" t="s">
        <v>62</v>
      </c>
      <c r="B379" s="3" t="s">
        <v>32</v>
      </c>
      <c r="C379" s="2" t="str">
        <f>INDEX(รายการสาร!$B:$B,MATCH($B379,รายการสาร!$A:$A,0))</f>
        <v>Gel ล้างมือติดผนัง</v>
      </c>
      <c r="D379" s="2" t="str">
        <f>INDEX(รายการสาร!$C:$C,MATCH($B379,รายการสาร!$A:$A,0))</f>
        <v>Purell</v>
      </c>
      <c r="E379" s="2" t="s">
        <v>128</v>
      </c>
      <c r="F379" s="2" t="s">
        <v>129</v>
      </c>
      <c r="G379" s="3"/>
      <c r="H379" s="3" t="s">
        <v>23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 t="s">
        <v>23</v>
      </c>
    </row>
    <row r="380" spans="1:23" x14ac:dyDescent="0.25">
      <c r="A380" s="2" t="s">
        <v>62</v>
      </c>
      <c r="B380" s="3" t="s">
        <v>57</v>
      </c>
      <c r="C380" s="2" t="str">
        <f>INDEX(รายการสาร!$B:$B,MATCH($B380,รายการสาร!$A:$A,0))</f>
        <v>Q-bac4 soap liquid</v>
      </c>
      <c r="D380" s="2" t="str">
        <f>INDEX(รายการสาร!$C:$C,MATCH($B380,รายการสาร!$A:$A,0))</f>
        <v>Q-bac4</v>
      </c>
      <c r="E380" s="2" t="s">
        <v>128</v>
      </c>
      <c r="F380" s="2" t="s">
        <v>117</v>
      </c>
      <c r="G380" s="3"/>
      <c r="H380" s="3"/>
      <c r="I380" s="3"/>
      <c r="J380" s="3"/>
      <c r="K380" s="3"/>
      <c r="L380" s="3"/>
      <c r="M380" s="3"/>
      <c r="N380" s="3"/>
      <c r="O380" s="3" t="s">
        <v>23</v>
      </c>
      <c r="P380" s="3"/>
      <c r="Q380" s="3"/>
      <c r="R380" s="3"/>
      <c r="S380" s="3"/>
      <c r="T380" s="3"/>
      <c r="U380" s="3"/>
      <c r="V380" s="3"/>
      <c r="W380" s="3"/>
    </row>
    <row r="381" spans="1:23" ht="27.6" customHeight="1" x14ac:dyDescent="0.25">
      <c r="A381" s="2" t="s">
        <v>79</v>
      </c>
      <c r="B381" s="3" t="s">
        <v>517</v>
      </c>
      <c r="C381" s="2" t="str">
        <f>INDEX(รายการสาร!$B:$B,MATCH($B381,รายการสาร!$A:$A,0))</f>
        <v>Ethy alcohol</v>
      </c>
      <c r="D381" s="2" t="str">
        <f>INDEX(รายการสาร!$C:$C,MATCH($B381,รายการสาร!$A:$A,0))</f>
        <v>Preservative solution 70%</v>
      </c>
      <c r="E381" s="2" t="s">
        <v>564</v>
      </c>
      <c r="F381" s="2" t="s">
        <v>565</v>
      </c>
      <c r="G381" s="3"/>
      <c r="H381" s="3" t="s">
        <v>23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 t="s">
        <v>23</v>
      </c>
    </row>
    <row r="382" spans="1:23" x14ac:dyDescent="0.25">
      <c r="A382" s="2" t="s">
        <v>79</v>
      </c>
      <c r="B382" s="3" t="s">
        <v>40</v>
      </c>
      <c r="C382" s="2" t="str">
        <f>INDEX(รายการสาร!$B:$B,MATCH($B382,รายการสาร!$A:$A,0))</f>
        <v>Betadine</v>
      </c>
      <c r="D382" s="2" t="str">
        <f>INDEX(รายการสาร!$C:$C,MATCH($B382,รายการสาร!$A:$A,0))</f>
        <v>Betadine</v>
      </c>
      <c r="E382" s="2" t="s">
        <v>272</v>
      </c>
      <c r="F382" s="2" t="s">
        <v>565</v>
      </c>
      <c r="G382" s="3"/>
      <c r="H382" s="3"/>
      <c r="I382" s="3"/>
      <c r="J382" s="3"/>
      <c r="K382" s="3"/>
      <c r="L382" s="3"/>
      <c r="M382" s="3"/>
      <c r="N382" s="3"/>
      <c r="O382" s="3" t="s">
        <v>23</v>
      </c>
      <c r="P382" s="3"/>
      <c r="Q382" s="3" t="s">
        <v>23</v>
      </c>
      <c r="R382" s="3"/>
      <c r="S382" s="3"/>
      <c r="T382" s="3"/>
      <c r="U382" s="3"/>
      <c r="V382" s="3"/>
      <c r="W382" s="3"/>
    </row>
    <row r="383" spans="1:23" x14ac:dyDescent="0.25">
      <c r="A383" s="2" t="s">
        <v>79</v>
      </c>
      <c r="B383" s="3" t="s">
        <v>77</v>
      </c>
      <c r="C383" s="2" t="str">
        <f>INDEX(รายการสาร!$B:$B,MATCH($B383,รายการสาร!$A:$A,0))</f>
        <v>Chlorhexidine scrub 4 %</v>
      </c>
      <c r="D383" s="2" t="str">
        <f>INDEX(รายการสาร!$C:$C,MATCH($B383,รายการสาร!$A:$A,0))</f>
        <v>Hexene</v>
      </c>
      <c r="E383" s="2" t="s">
        <v>359</v>
      </c>
      <c r="F383" s="2" t="s">
        <v>565</v>
      </c>
      <c r="G383" s="3"/>
      <c r="H383" s="3"/>
      <c r="I383" s="3"/>
      <c r="J383" s="3"/>
      <c r="K383" s="3"/>
      <c r="L383" s="3"/>
      <c r="M383" s="3"/>
      <c r="N383" s="3"/>
      <c r="O383" s="3" t="s">
        <v>23</v>
      </c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2" t="s">
        <v>79</v>
      </c>
      <c r="B384" s="3" t="s">
        <v>45</v>
      </c>
      <c r="C384" s="2" t="str">
        <f>INDEX(รายการสาร!$B:$B,MATCH($B384,รายการสาร!$A:$A,0))</f>
        <v>Alcohol Pad</v>
      </c>
      <c r="D384" s="2" t="str">
        <f>INDEX(รายการสาร!$C:$C,MATCH($B384,รายการสาร!$A:$A,0))</f>
        <v>Neoplast</v>
      </c>
      <c r="E384" s="2" t="s">
        <v>258</v>
      </c>
      <c r="F384" s="2" t="s">
        <v>565</v>
      </c>
      <c r="G384" s="3"/>
      <c r="H384" s="3" t="s">
        <v>23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 t="s">
        <v>23</v>
      </c>
    </row>
    <row r="385" spans="1:23" ht="41.4" customHeight="1" x14ac:dyDescent="0.25">
      <c r="A385" s="2" t="s">
        <v>79</v>
      </c>
      <c r="B385" s="3" t="s">
        <v>113</v>
      </c>
      <c r="C385" s="2" t="str">
        <f>INDEX(รายการสาร!$B:$B,MATCH($B385,รายการสาร!$A:$A,0))</f>
        <v>น้ำยาล้างจาน</v>
      </c>
      <c r="D385" s="2" t="str">
        <f>INDEX(รายการสาร!$C:$C,MATCH($B385,รายการสาร!$A:$A,0))</f>
        <v>ไลปอนเอฟ หรือ มาวิน หรือ ซันไลต์</v>
      </c>
      <c r="E385" s="2" t="s">
        <v>566</v>
      </c>
      <c r="F385" s="2" t="s">
        <v>567</v>
      </c>
      <c r="G385" s="3"/>
      <c r="H385" s="3"/>
      <c r="I385" s="3"/>
      <c r="J385" s="3"/>
      <c r="K385" s="3"/>
      <c r="L385" s="3"/>
      <c r="M385" s="3"/>
      <c r="N385" s="3"/>
      <c r="O385" s="3" t="s">
        <v>23</v>
      </c>
      <c r="P385" s="3"/>
      <c r="Q385" s="3"/>
      <c r="R385" s="3"/>
      <c r="S385" s="3"/>
      <c r="T385" s="3"/>
      <c r="U385" s="3"/>
      <c r="V385" s="3"/>
      <c r="W385" s="3"/>
    </row>
    <row r="386" spans="1:23" ht="27.6" customHeight="1" x14ac:dyDescent="0.25">
      <c r="A386" s="2" t="s">
        <v>79</v>
      </c>
      <c r="B386" s="3" t="s">
        <v>60</v>
      </c>
      <c r="C386" s="2" t="str">
        <f>INDEX(รายการสาร!$B:$B,MATCH($B386,รายการสาร!$A:$A,0))</f>
        <v>GER-MA-WAY Disinfectant</v>
      </c>
      <c r="D386" s="2" t="str">
        <f>INDEX(รายการสาร!$C:$C,MATCH($B386,รายการสาร!$A:$A,0))</f>
        <v>GER-MA-WAY Disinfectant</v>
      </c>
      <c r="E386" s="2" t="s">
        <v>559</v>
      </c>
      <c r="F386" s="2" t="s">
        <v>565</v>
      </c>
      <c r="G386" s="3"/>
      <c r="H386" s="3" t="s">
        <v>23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 t="s">
        <v>23</v>
      </c>
    </row>
    <row r="387" spans="1:23" x14ac:dyDescent="0.25">
      <c r="A387" s="2" t="s">
        <v>79</v>
      </c>
      <c r="B387" s="3" t="s">
        <v>276</v>
      </c>
      <c r="C387" s="2" t="str">
        <f>INDEX(รายการสาร!$B:$B,MATCH($B387,รายการสาร!$A:$A,0))</f>
        <v>Alcohol Gel</v>
      </c>
      <c r="D387" s="2" t="str">
        <f>INDEX(รายการสาร!$C:$C,MATCH($B387,รายการสาร!$A:$A,0))</f>
        <v>Clean hand Gel</v>
      </c>
      <c r="E387" s="2" t="s">
        <v>128</v>
      </c>
      <c r="F387" s="2" t="s">
        <v>565</v>
      </c>
      <c r="G387" s="3"/>
      <c r="H387" s="3" t="s">
        <v>23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 t="s">
        <v>23</v>
      </c>
    </row>
    <row r="388" spans="1:23" ht="27.6" customHeight="1" x14ac:dyDescent="0.25">
      <c r="A388" s="2" t="s">
        <v>79</v>
      </c>
      <c r="B388" s="3" t="s">
        <v>180</v>
      </c>
      <c r="C388" s="2" t="str">
        <f>INDEX(รายการสาร!$B:$B,MATCH($B388,รายการสาร!$A:$A,0))</f>
        <v>Gel ล้างมือติดผนัง</v>
      </c>
      <c r="D388" s="2" t="str">
        <f>INDEX(รายการสาร!$C:$C,MATCH($B388,รายการสาร!$A:$A,0))</f>
        <v>Purell (Hand Sanitizer)</v>
      </c>
      <c r="E388" s="2" t="s">
        <v>128</v>
      </c>
      <c r="F388" s="2" t="s">
        <v>117</v>
      </c>
      <c r="G388" s="3"/>
      <c r="H388" s="3" t="s">
        <v>23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 t="s">
        <v>23</v>
      </c>
    </row>
    <row r="389" spans="1:23" x14ac:dyDescent="0.25">
      <c r="A389" s="2" t="s">
        <v>79</v>
      </c>
      <c r="B389" s="3" t="s">
        <v>20</v>
      </c>
      <c r="C389" s="2" t="str">
        <f>INDEX(รายการสาร!$B:$B,MATCH($B389,รายการสาร!$A:$A,0))</f>
        <v>คิมแคร์สบู่เหลวล้างมือ</v>
      </c>
      <c r="D389" s="2" t="str">
        <f>INDEX(รายการสาร!$C:$C,MATCH($B389,รายการสาร!$A:$A,0))</f>
        <v>Kimcare</v>
      </c>
      <c r="E389" s="2" t="s">
        <v>111</v>
      </c>
      <c r="F389" s="2" t="s">
        <v>117</v>
      </c>
      <c r="G389" s="3"/>
      <c r="H389" s="3"/>
      <c r="I389" s="3"/>
      <c r="J389" s="3"/>
      <c r="K389" s="3"/>
      <c r="L389" s="3"/>
      <c r="M389" s="3"/>
      <c r="N389" s="3"/>
      <c r="O389" s="3" t="s">
        <v>23</v>
      </c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2" t="s">
        <v>79</v>
      </c>
      <c r="B390" s="3" t="s">
        <v>57</v>
      </c>
      <c r="C390" s="2" t="str">
        <f>INDEX(รายการสาร!$B:$B,MATCH($B390,รายการสาร!$A:$A,0))</f>
        <v>Q-bac4 soap liquid</v>
      </c>
      <c r="D390" s="2" t="str">
        <f>INDEX(รายการสาร!$C:$C,MATCH($B390,รายการสาร!$A:$A,0))</f>
        <v>Q-bac4</v>
      </c>
      <c r="E390" s="2" t="s">
        <v>128</v>
      </c>
      <c r="F390" s="2" t="s">
        <v>117</v>
      </c>
      <c r="G390" s="3"/>
      <c r="H390" s="3" t="s">
        <v>23</v>
      </c>
      <c r="I390" s="3"/>
      <c r="J390" s="3"/>
      <c r="K390" s="3"/>
      <c r="L390" s="3"/>
      <c r="M390" s="3" t="s">
        <v>23</v>
      </c>
      <c r="N390" s="3"/>
      <c r="O390" s="3"/>
      <c r="P390" s="3"/>
      <c r="Q390" s="3" t="s">
        <v>23</v>
      </c>
      <c r="R390" s="3"/>
      <c r="S390" s="3"/>
      <c r="T390" s="3"/>
      <c r="U390" s="3"/>
      <c r="V390" s="3"/>
      <c r="W390" s="3" t="s">
        <v>23</v>
      </c>
    </row>
    <row r="391" spans="1:23" ht="27.6" customHeight="1" x14ac:dyDescent="0.25">
      <c r="A391" s="2" t="s">
        <v>568</v>
      </c>
      <c r="B391" s="3" t="s">
        <v>540</v>
      </c>
      <c r="C391" s="2" t="str">
        <f>INDEX(รายการสาร!$B:$B,MATCH($B391,รายการสาร!$A:$A,0))</f>
        <v>70% Alcohol (60 ml)</v>
      </c>
      <c r="D391" s="2" t="str">
        <f>INDEX(รายการสาร!$C:$C,MATCH($B391,รายการสาร!$A:$A,0))</f>
        <v>Preservative solution 70%</v>
      </c>
      <c r="E391" s="2" t="s">
        <v>134</v>
      </c>
      <c r="F391" s="2" t="s">
        <v>569</v>
      </c>
      <c r="G391" s="3"/>
      <c r="H391" s="3" t="s">
        <v>23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 t="s">
        <v>23</v>
      </c>
    </row>
    <row r="392" spans="1:23" x14ac:dyDescent="0.25">
      <c r="A392" s="2" t="s">
        <v>568</v>
      </c>
      <c r="B392" s="3" t="s">
        <v>45</v>
      </c>
      <c r="C392" s="2" t="str">
        <f>INDEX(รายการสาร!$B:$B,MATCH($B392,รายการสาร!$A:$A,0))</f>
        <v>Alcohol Pad</v>
      </c>
      <c r="D392" s="2" t="str">
        <f>INDEX(รายการสาร!$C:$C,MATCH($B392,รายการสาร!$A:$A,0))</f>
        <v>Neoplast</v>
      </c>
      <c r="E392" s="2" t="s">
        <v>570</v>
      </c>
      <c r="F392" s="2" t="s">
        <v>571</v>
      </c>
      <c r="G392" s="3" t="s">
        <v>23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7.6" customHeight="1" x14ac:dyDescent="0.25">
      <c r="A393" s="2" t="s">
        <v>568</v>
      </c>
      <c r="B393" s="3" t="s">
        <v>572</v>
      </c>
      <c r="C393" s="2" t="str">
        <f>INDEX(รายการสาร!$B:$B,MATCH($B393,รายการสาร!$A:$A,0))</f>
        <v>Betadine solution 30 ml</v>
      </c>
      <c r="D393" s="2" t="str">
        <f>INDEX(รายการสาร!$C:$C,MATCH($B393,รายการสาร!$A:$A,0))</f>
        <v>Betadine solution 30 ml</v>
      </c>
      <c r="E393" s="2" t="s">
        <v>121</v>
      </c>
      <c r="F393" s="2" t="s">
        <v>569</v>
      </c>
      <c r="G393" s="3"/>
      <c r="H393" s="3"/>
      <c r="I393" s="3"/>
      <c r="J393" s="3"/>
      <c r="K393" s="3"/>
      <c r="L393" s="3"/>
      <c r="M393" s="3"/>
      <c r="N393" s="3"/>
      <c r="O393" s="3" t="s">
        <v>23</v>
      </c>
      <c r="P393" s="3"/>
      <c r="Q393" s="3" t="s">
        <v>23</v>
      </c>
      <c r="R393" s="3"/>
      <c r="S393" s="3"/>
      <c r="T393" s="3"/>
      <c r="U393" s="3"/>
      <c r="V393" s="3"/>
      <c r="W393" s="3"/>
    </row>
    <row r="394" spans="1:23" ht="27.6" customHeight="1" x14ac:dyDescent="0.25">
      <c r="A394" s="2" t="s">
        <v>568</v>
      </c>
      <c r="B394" s="3" t="s">
        <v>573</v>
      </c>
      <c r="C394" s="2" t="str">
        <f>INDEX(รายการสาร!$B:$B,MATCH($B394,รายการสาร!$A:$A,0))</f>
        <v>Betadine Scrub 120 ml</v>
      </c>
      <c r="D394" s="2" t="str">
        <f>INDEX(รายการสาร!$C:$C,MATCH($B394,รายการสาร!$A:$A,0))</f>
        <v>Betadine Scrub 120 ml</v>
      </c>
      <c r="E394" s="2" t="s">
        <v>114</v>
      </c>
      <c r="F394" s="2" t="s">
        <v>569</v>
      </c>
      <c r="G394" s="3"/>
      <c r="H394" s="3"/>
      <c r="I394" s="3"/>
      <c r="J394" s="3"/>
      <c r="K394" s="3"/>
      <c r="L394" s="3"/>
      <c r="M394" s="3"/>
      <c r="N394" s="3"/>
      <c r="O394" s="3" t="s">
        <v>23</v>
      </c>
      <c r="P394" s="3"/>
      <c r="Q394" s="3" t="s">
        <v>23</v>
      </c>
      <c r="R394" s="3"/>
      <c r="S394" s="3"/>
      <c r="T394" s="3"/>
      <c r="U394" s="3"/>
      <c r="V394" s="3"/>
      <c r="W394" s="3"/>
    </row>
    <row r="395" spans="1:23" x14ac:dyDescent="0.25">
      <c r="A395" s="2" t="s">
        <v>568</v>
      </c>
      <c r="B395" s="3" t="s">
        <v>73</v>
      </c>
      <c r="C395" s="2" t="str">
        <f>INDEX(รายการสาร!$B:$B,MATCH($B395,รายการสาร!$A:$A,0))</f>
        <v>chlorhexidine 2% in 70% alcohol</v>
      </c>
      <c r="D395" s="2" t="str">
        <f>INDEX(รายการสาร!$C:$C,MATCH($B395,รายการสาร!$A:$A,0))</f>
        <v>Prepskin-C</v>
      </c>
      <c r="E395" s="2" t="s">
        <v>574</v>
      </c>
      <c r="F395" s="2" t="s">
        <v>571</v>
      </c>
      <c r="G395" s="3"/>
      <c r="H395" s="3" t="s">
        <v>23</v>
      </c>
      <c r="I395" s="3"/>
      <c r="J395" s="3"/>
      <c r="K395" s="3"/>
      <c r="L395" s="3"/>
      <c r="M395" s="3" t="s">
        <v>23</v>
      </c>
      <c r="N395" s="3"/>
      <c r="O395" s="3"/>
      <c r="P395" s="3"/>
      <c r="Q395" s="3" t="s">
        <v>23</v>
      </c>
      <c r="R395" s="3"/>
      <c r="S395" s="3"/>
      <c r="T395" s="3"/>
      <c r="U395" s="3"/>
      <c r="V395" s="3"/>
      <c r="W395" s="3" t="s">
        <v>23</v>
      </c>
    </row>
    <row r="396" spans="1:23" x14ac:dyDescent="0.25">
      <c r="A396" s="2" t="s">
        <v>568</v>
      </c>
      <c r="B396" s="3" t="s">
        <v>32</v>
      </c>
      <c r="C396" s="2" t="str">
        <f>INDEX(รายการสาร!$B:$B,MATCH($B396,รายการสาร!$A:$A,0))</f>
        <v>Gel ล้างมือติดผนัง</v>
      </c>
      <c r="D396" s="2" t="str">
        <f>INDEX(รายการสาร!$C:$C,MATCH($B396,รายการสาร!$A:$A,0))</f>
        <v>Purell</v>
      </c>
      <c r="E396" s="2" t="s">
        <v>128</v>
      </c>
      <c r="F396" s="2" t="s">
        <v>129</v>
      </c>
      <c r="G396" s="3"/>
      <c r="H396" s="3" t="s">
        <v>23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 t="s">
        <v>23</v>
      </c>
    </row>
    <row r="397" spans="1:23" x14ac:dyDescent="0.25">
      <c r="A397" s="2" t="s">
        <v>568</v>
      </c>
      <c r="B397" s="3" t="s">
        <v>20</v>
      </c>
      <c r="C397" s="2" t="str">
        <f>INDEX(รายการสาร!$B:$B,MATCH($B397,รายการสาร!$A:$A,0))</f>
        <v>คิมแคร์สบู่เหลวล้างมือ</v>
      </c>
      <c r="D397" s="2" t="str">
        <f>INDEX(รายการสาร!$C:$C,MATCH($B397,รายการสาร!$A:$A,0))</f>
        <v>Kimcare</v>
      </c>
      <c r="E397" s="2" t="s">
        <v>256</v>
      </c>
      <c r="F397" s="2" t="s">
        <v>129</v>
      </c>
      <c r="G397" s="3"/>
      <c r="H397" s="3"/>
      <c r="I397" s="3"/>
      <c r="J397" s="3"/>
      <c r="K397" s="3"/>
      <c r="L397" s="3"/>
      <c r="M397" s="3"/>
      <c r="N397" s="3"/>
      <c r="O397" s="3" t="s">
        <v>23</v>
      </c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2" t="s">
        <v>575</v>
      </c>
      <c r="B398" s="3" t="s">
        <v>126</v>
      </c>
      <c r="C398" s="2" t="str">
        <f>INDEX(รายการสาร!$B:$B,MATCH($B398,รายการสาร!$A:$A,0))</f>
        <v>น้ำยาล้างเล็บ(LAPPA)</v>
      </c>
      <c r="D398" s="2" t="str">
        <f>INDEX(รายการสาร!$C:$C,MATCH($B398,รายการสาร!$A:$A,0))</f>
        <v>Polish Remover</v>
      </c>
      <c r="E398" s="2" t="s">
        <v>279</v>
      </c>
      <c r="F398" s="2" t="s">
        <v>122</v>
      </c>
      <c r="G398" s="3"/>
      <c r="H398" s="3" t="s">
        <v>23</v>
      </c>
      <c r="I398" s="3"/>
      <c r="J398" s="3"/>
      <c r="K398" s="3"/>
      <c r="L398" s="3"/>
      <c r="M398" s="3" t="s">
        <v>23</v>
      </c>
      <c r="N398" s="3"/>
      <c r="O398" s="3" t="s">
        <v>23</v>
      </c>
      <c r="P398" s="3"/>
      <c r="Q398" s="3" t="s">
        <v>23</v>
      </c>
      <c r="R398" s="3"/>
      <c r="S398" s="3"/>
      <c r="T398" s="3"/>
      <c r="U398" s="3"/>
      <c r="V398" s="3"/>
      <c r="W398" s="3" t="s">
        <v>23</v>
      </c>
    </row>
    <row r="399" spans="1:23" x14ac:dyDescent="0.25">
      <c r="A399" s="2" t="s">
        <v>575</v>
      </c>
      <c r="B399" s="3" t="s">
        <v>30</v>
      </c>
      <c r="C399" s="2" t="str">
        <f>INDEX(รายการสาร!$B:$B,MATCH($B399,รายการสาร!$A:$A,0))</f>
        <v>Ammonia</v>
      </c>
      <c r="D399" s="2" t="str">
        <f>INDEX(รายการสาร!$C:$C,MATCH($B399,รายการสาร!$A:$A,0))</f>
        <v>Ammonia</v>
      </c>
      <c r="E399" s="2" t="s">
        <v>576</v>
      </c>
      <c r="F399" s="2" t="s">
        <v>122</v>
      </c>
      <c r="G399" s="3"/>
      <c r="H399" s="3"/>
      <c r="I399" s="3"/>
      <c r="J399" s="3" t="s">
        <v>23</v>
      </c>
      <c r="K399" s="3" t="s">
        <v>23</v>
      </c>
      <c r="L399" s="3"/>
      <c r="M399" s="3" t="s">
        <v>23</v>
      </c>
      <c r="N399" s="3"/>
      <c r="O399" s="3"/>
      <c r="P399" s="3"/>
      <c r="Q399" s="3" t="s">
        <v>23</v>
      </c>
      <c r="R399" s="3" t="s">
        <v>23</v>
      </c>
      <c r="S399" s="3"/>
      <c r="T399" s="3"/>
      <c r="U399" s="3"/>
      <c r="V399" s="3"/>
      <c r="W399" s="3"/>
    </row>
    <row r="400" spans="1:23" x14ac:dyDescent="0.25">
      <c r="A400" s="2" t="s">
        <v>575</v>
      </c>
      <c r="B400" s="3" t="s">
        <v>45</v>
      </c>
      <c r="C400" s="2" t="str">
        <f>INDEX(รายการสาร!$B:$B,MATCH($B400,รายการสาร!$A:$A,0))</f>
        <v>Alcohol Pad</v>
      </c>
      <c r="D400" s="2" t="str">
        <f>INDEX(รายการสาร!$C:$C,MATCH($B400,รายการสาร!$A:$A,0))</f>
        <v>Neoplast</v>
      </c>
      <c r="E400" s="2" t="s">
        <v>275</v>
      </c>
      <c r="F400" s="2" t="s">
        <v>122</v>
      </c>
      <c r="G400" s="3"/>
      <c r="H400" s="3" t="s">
        <v>23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 t="s">
        <v>23</v>
      </c>
    </row>
    <row r="401" spans="1:23" ht="27.6" customHeight="1" x14ac:dyDescent="0.25">
      <c r="A401" s="2" t="s">
        <v>575</v>
      </c>
      <c r="B401" s="3" t="s">
        <v>517</v>
      </c>
      <c r="C401" s="2" t="str">
        <f>INDEX(รายการสาร!$B:$B,MATCH($B401,รายการสาร!$A:$A,0))</f>
        <v>Ethy alcohol</v>
      </c>
      <c r="D401" s="2" t="str">
        <f>INDEX(รายการสาร!$C:$C,MATCH($B401,รายการสาร!$A:$A,0))</f>
        <v>Preservative solution 70%</v>
      </c>
      <c r="E401" s="2" t="s">
        <v>577</v>
      </c>
      <c r="F401" s="2" t="s">
        <v>122</v>
      </c>
      <c r="G401" s="3"/>
      <c r="H401" s="3" t="s">
        <v>23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 t="s">
        <v>23</v>
      </c>
    </row>
    <row r="402" spans="1:23" x14ac:dyDescent="0.25">
      <c r="A402" s="2" t="s">
        <v>575</v>
      </c>
      <c r="B402" s="3" t="s">
        <v>578</v>
      </c>
      <c r="C402" s="2" t="str">
        <f>INDEX(รายการสาร!$B:$B,MATCH($B402,รายการสาร!$A:$A,0))</f>
        <v>10%formalin</v>
      </c>
      <c r="D402" s="2" t="str">
        <f>INDEX(รายการสาร!$C:$C,MATCH($B402,รายการสาร!$A:$A,0))</f>
        <v>10%formalin</v>
      </c>
      <c r="E402" s="2" t="s">
        <v>128</v>
      </c>
      <c r="F402" s="2" t="s">
        <v>122</v>
      </c>
      <c r="G402" s="3"/>
      <c r="H402" s="3" t="s">
        <v>23</v>
      </c>
      <c r="I402" s="3"/>
      <c r="J402" s="3"/>
      <c r="K402" s="3" t="s">
        <v>23</v>
      </c>
      <c r="L402" s="3"/>
      <c r="M402" s="3" t="s">
        <v>23</v>
      </c>
      <c r="N402" s="3"/>
      <c r="O402" s="3"/>
      <c r="P402" s="3"/>
      <c r="Q402" s="3" t="s">
        <v>23</v>
      </c>
      <c r="R402" s="3" t="s">
        <v>23</v>
      </c>
      <c r="S402" s="3"/>
      <c r="T402" s="3"/>
      <c r="U402" s="3"/>
      <c r="V402" s="3"/>
      <c r="W402" s="3" t="s">
        <v>23</v>
      </c>
    </row>
    <row r="403" spans="1:23" ht="27.6" customHeight="1" x14ac:dyDescent="0.25">
      <c r="A403" s="2" t="s">
        <v>575</v>
      </c>
      <c r="B403" s="3" t="s">
        <v>579</v>
      </c>
      <c r="C403" s="2" t="str">
        <f>INDEX(รายการสาร!$B:$B,MATCH($B403,รายการสาร!$A:$A,0))</f>
        <v>trichloroacetic acid</v>
      </c>
      <c r="D403" s="2" t="str">
        <f>INDEX(รายการสาร!$C:$C,MATCH($B403,รายการสาร!$A:$A,0))</f>
        <v>trichloroacetic acid</v>
      </c>
      <c r="E403" s="2" t="s">
        <v>580</v>
      </c>
      <c r="F403" s="2" t="s">
        <v>122</v>
      </c>
      <c r="G403" s="3"/>
      <c r="H403" s="3"/>
      <c r="I403" s="3"/>
      <c r="J403" s="3"/>
      <c r="K403" s="3" t="s">
        <v>23</v>
      </c>
      <c r="L403" s="3"/>
      <c r="M403" s="3" t="s">
        <v>23</v>
      </c>
      <c r="N403" s="3"/>
      <c r="O403" s="3" t="s">
        <v>23</v>
      </c>
      <c r="P403" s="3"/>
      <c r="Q403" s="3" t="s">
        <v>23</v>
      </c>
      <c r="R403" s="3" t="s">
        <v>23</v>
      </c>
      <c r="S403" s="3"/>
      <c r="T403" s="3"/>
      <c r="U403" s="3"/>
      <c r="V403" s="3"/>
      <c r="W403" s="3"/>
    </row>
    <row r="404" spans="1:23" ht="27.6" customHeight="1" x14ac:dyDescent="0.25">
      <c r="A404" s="2" t="s">
        <v>575</v>
      </c>
      <c r="B404" s="3" t="s">
        <v>581</v>
      </c>
      <c r="C404" s="2" t="str">
        <f>INDEX(รายการสาร!$B:$B,MATCH($B404,รายการสาร!$A:$A,0))</f>
        <v>Alcohol95%</v>
      </c>
      <c r="D404" s="2" t="str">
        <f>INDEX(รายการสาร!$C:$C,MATCH($B404,รายการสาร!$A:$A,0))</f>
        <v>Preservative solution 95%</v>
      </c>
      <c r="E404" s="2" t="s">
        <v>582</v>
      </c>
      <c r="F404" s="2" t="s">
        <v>122</v>
      </c>
      <c r="G404" s="3"/>
      <c r="H404" s="3" t="s">
        <v>23</v>
      </c>
      <c r="I404" s="3"/>
      <c r="J404" s="3"/>
      <c r="K404" s="3"/>
      <c r="L404" s="3"/>
      <c r="M404" s="3"/>
      <c r="N404" s="3"/>
      <c r="O404" s="3"/>
      <c r="P404" s="3"/>
      <c r="Q404" s="3" t="s">
        <v>23</v>
      </c>
      <c r="R404" s="3"/>
      <c r="S404" s="3"/>
      <c r="T404" s="3"/>
      <c r="U404" s="3"/>
      <c r="V404" s="3"/>
      <c r="W404" s="3" t="s">
        <v>23</v>
      </c>
    </row>
    <row r="405" spans="1:23" x14ac:dyDescent="0.25">
      <c r="A405" s="2" t="s">
        <v>575</v>
      </c>
      <c r="B405" s="3" t="s">
        <v>513</v>
      </c>
      <c r="C405" s="2" t="str">
        <f>INDEX(รายการสาร!$B:$B,MATCH($B405,รายการสาร!$A:$A,0))</f>
        <v>silver nitrate stick</v>
      </c>
      <c r="D405" s="2" t="str">
        <f>INDEX(รายการสาร!$C:$C,MATCH($B405,รายการสาร!$A:$A,0))</f>
        <v>silver nitrate</v>
      </c>
      <c r="E405" s="2" t="s">
        <v>583</v>
      </c>
      <c r="F405" s="2" t="s">
        <v>122</v>
      </c>
      <c r="G405" s="3"/>
      <c r="H405" s="3" t="s">
        <v>23</v>
      </c>
      <c r="I405" s="3"/>
      <c r="J405" s="3"/>
      <c r="K405" s="3" t="s">
        <v>23</v>
      </c>
      <c r="L405" s="3"/>
      <c r="M405" s="3"/>
      <c r="N405" s="3"/>
      <c r="O405" s="3"/>
      <c r="P405" s="3"/>
      <c r="Q405" s="3" t="s">
        <v>23</v>
      </c>
      <c r="R405" s="3" t="s">
        <v>23</v>
      </c>
      <c r="S405" s="3" t="s">
        <v>23</v>
      </c>
      <c r="T405" s="3" t="s">
        <v>23</v>
      </c>
      <c r="U405" s="3"/>
      <c r="V405" s="3"/>
      <c r="W405" s="3" t="s">
        <v>23</v>
      </c>
    </row>
    <row r="406" spans="1:23" ht="41.4" customHeight="1" x14ac:dyDescent="0.25">
      <c r="A406" s="2" t="s">
        <v>575</v>
      </c>
      <c r="B406" s="3" t="s">
        <v>113</v>
      </c>
      <c r="C406" s="2" t="str">
        <f>INDEX(รายการสาร!$B:$B,MATCH($B406,รายการสาร!$A:$A,0))</f>
        <v>น้ำยาล้างจาน</v>
      </c>
      <c r="D406" s="2" t="str">
        <f>INDEX(รายการสาร!$C:$C,MATCH($B406,รายการสาร!$A:$A,0))</f>
        <v>ไลปอนเอฟ หรือ มาวิน หรือ ซันไลต์</v>
      </c>
      <c r="E406" s="2" t="s">
        <v>250</v>
      </c>
      <c r="F406" s="2" t="s">
        <v>210</v>
      </c>
      <c r="G406" s="3"/>
      <c r="H406" s="3"/>
      <c r="I406" s="3"/>
      <c r="J406" s="3"/>
      <c r="K406" s="3"/>
      <c r="L406" s="3"/>
      <c r="M406" s="3"/>
      <c r="N406" s="3"/>
      <c r="O406" s="3" t="s">
        <v>23</v>
      </c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2" t="s">
        <v>575</v>
      </c>
      <c r="B407" s="3" t="s">
        <v>514</v>
      </c>
      <c r="C407" s="2" t="str">
        <f>INDEX(รายการสาร!$B:$B,MATCH($B407,รายการสาร!$A:$A,0))</f>
        <v>ThinPrep</v>
      </c>
      <c r="D407" s="2" t="str">
        <f>INDEX(รายการสาร!$C:$C,MATCH($B407,รายการสาร!$A:$A,0))</f>
        <v>ThinPrep</v>
      </c>
      <c r="E407" s="2" t="s">
        <v>515</v>
      </c>
      <c r="F407" s="2" t="s">
        <v>122</v>
      </c>
      <c r="G407" s="3"/>
      <c r="H407" s="3" t="s">
        <v>23</v>
      </c>
      <c r="I407" s="3"/>
      <c r="J407" s="3"/>
      <c r="K407" s="3"/>
      <c r="L407" s="3"/>
      <c r="M407" s="3" t="s">
        <v>23</v>
      </c>
      <c r="N407" s="3"/>
      <c r="O407" s="3"/>
      <c r="P407" s="3"/>
      <c r="Q407" s="3" t="s">
        <v>23</v>
      </c>
      <c r="R407" s="3"/>
      <c r="S407" s="3"/>
      <c r="T407" s="3"/>
      <c r="U407" s="3"/>
      <c r="V407" s="3"/>
      <c r="W407" s="3" t="s">
        <v>23</v>
      </c>
    </row>
    <row r="408" spans="1:23" x14ac:dyDescent="0.25">
      <c r="A408" s="2" t="s">
        <v>575</v>
      </c>
      <c r="B408" s="3" t="s">
        <v>40</v>
      </c>
      <c r="C408" s="2" t="str">
        <f>INDEX(รายการสาร!$B:$B,MATCH($B408,รายการสาร!$A:$A,0))</f>
        <v>Betadine</v>
      </c>
      <c r="D408" s="2" t="str">
        <f>INDEX(รายการสาร!$C:$C,MATCH($B408,รายการสาร!$A:$A,0))</f>
        <v>Betadine</v>
      </c>
      <c r="E408" s="2" t="s">
        <v>299</v>
      </c>
      <c r="F408" s="2" t="s">
        <v>122</v>
      </c>
      <c r="G408" s="3"/>
      <c r="H408" s="3"/>
      <c r="I408" s="3"/>
      <c r="J408" s="3"/>
      <c r="K408" s="3"/>
      <c r="L408" s="3"/>
      <c r="M408" s="3"/>
      <c r="N408" s="3"/>
      <c r="O408" s="3" t="s">
        <v>23</v>
      </c>
      <c r="P408" s="3"/>
      <c r="Q408" s="3" t="s">
        <v>23</v>
      </c>
      <c r="R408" s="3"/>
      <c r="S408" s="3"/>
      <c r="T408" s="3"/>
      <c r="U408" s="3"/>
      <c r="V408" s="3"/>
      <c r="W408" s="3"/>
    </row>
    <row r="409" spans="1:23" x14ac:dyDescent="0.25">
      <c r="A409" s="2" t="s">
        <v>575</v>
      </c>
      <c r="B409" s="3" t="s">
        <v>276</v>
      </c>
      <c r="C409" s="2" t="str">
        <f>INDEX(รายการสาร!$B:$B,MATCH($B409,รายการสาร!$A:$A,0))</f>
        <v>Alcohol Gel</v>
      </c>
      <c r="D409" s="2" t="str">
        <f>INDEX(รายการสาร!$C:$C,MATCH($B409,รายการสาร!$A:$A,0))</f>
        <v>Clean hand Gel</v>
      </c>
      <c r="E409" s="2" t="s">
        <v>584</v>
      </c>
      <c r="F409" s="2" t="s">
        <v>122</v>
      </c>
      <c r="G409" s="3"/>
      <c r="H409" s="3" t="s">
        <v>23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 t="s">
        <v>23</v>
      </c>
    </row>
    <row r="410" spans="1:23" x14ac:dyDescent="0.25">
      <c r="A410" s="2" t="s">
        <v>575</v>
      </c>
      <c r="B410" s="3" t="s">
        <v>32</v>
      </c>
      <c r="C410" s="2" t="str">
        <f>INDEX(รายการสาร!$B:$B,MATCH($B410,รายการสาร!$A:$A,0))</f>
        <v>Gel ล้างมือติดผนัง</v>
      </c>
      <c r="D410" s="2" t="str">
        <f>INDEX(รายการสาร!$C:$C,MATCH($B410,รายการสาร!$A:$A,0))</f>
        <v>Purell</v>
      </c>
      <c r="E410" s="2" t="s">
        <v>128</v>
      </c>
      <c r="F410" s="2" t="s">
        <v>129</v>
      </c>
      <c r="G410" s="3"/>
      <c r="H410" s="3" t="s">
        <v>23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 t="s">
        <v>23</v>
      </c>
    </row>
    <row r="411" spans="1:23" x14ac:dyDescent="0.25">
      <c r="A411" s="2" t="s">
        <v>575</v>
      </c>
      <c r="B411" s="3" t="s">
        <v>20</v>
      </c>
      <c r="C411" s="2" t="str">
        <f>INDEX(รายการสาร!$B:$B,MATCH($B411,รายการสาร!$A:$A,0))</f>
        <v>คิมแคร์สบู่เหลวล้างมือ</v>
      </c>
      <c r="D411" s="2" t="str">
        <f>INDEX(รายการสาร!$C:$C,MATCH($B411,รายการสาร!$A:$A,0))</f>
        <v>Kimcare</v>
      </c>
      <c r="E411" s="2" t="s">
        <v>111</v>
      </c>
      <c r="F411" s="2" t="s">
        <v>112</v>
      </c>
      <c r="G411" s="3"/>
      <c r="H411" s="3"/>
      <c r="I411" s="3"/>
      <c r="J411" s="3"/>
      <c r="K411" s="3"/>
      <c r="L411" s="3"/>
      <c r="M411" s="3"/>
      <c r="N411" s="3"/>
      <c r="O411" s="3" t="s">
        <v>23</v>
      </c>
      <c r="P411" s="3"/>
      <c r="Q411" s="3"/>
      <c r="R411" s="3"/>
      <c r="S411" s="3"/>
      <c r="T411" s="3"/>
      <c r="U411" s="3"/>
      <c r="V411" s="3"/>
      <c r="W411" s="3"/>
    </row>
    <row r="412" spans="1:23" ht="27.6" customHeight="1" x14ac:dyDescent="0.25">
      <c r="A412" s="2" t="s">
        <v>575</v>
      </c>
      <c r="B412" s="3" t="s">
        <v>585</v>
      </c>
      <c r="C412" s="2" t="str">
        <f>INDEX(รายการสาร!$B:$B,MATCH($B412,รายการสาร!$A:$A,0))</f>
        <v>3% acetic acid solution</v>
      </c>
      <c r="D412" s="2" t="str">
        <f>INDEX(รายการสาร!$C:$C,MATCH($B412,รายการสาร!$A:$A,0))</f>
        <v>3% acetic acid solution</v>
      </c>
      <c r="E412" s="2" t="s">
        <v>310</v>
      </c>
      <c r="F412" s="2" t="s">
        <v>122</v>
      </c>
      <c r="G412" s="3"/>
      <c r="H412" s="3"/>
      <c r="I412" s="3"/>
      <c r="J412" s="3"/>
      <c r="K412" s="3" t="s">
        <v>23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2" t="s">
        <v>586</v>
      </c>
      <c r="B413" s="3" t="s">
        <v>587</v>
      </c>
      <c r="C413" s="2" t="str">
        <f>INDEX(รายการสาร!$B:$B,MATCH($B413,รายการสาร!$A:$A,0))</f>
        <v>Ammonia (ขนาด60 ml)</v>
      </c>
      <c r="D413" s="2" t="str">
        <f>INDEX(รายการสาร!$C:$C,MATCH($B413,รายการสาร!$A:$A,0))</f>
        <v>Ammonia</v>
      </c>
      <c r="E413" s="2" t="s">
        <v>134</v>
      </c>
      <c r="F413" s="2" t="s">
        <v>588</v>
      </c>
      <c r="G413" s="3"/>
      <c r="H413" s="3"/>
      <c r="I413" s="3"/>
      <c r="J413" s="3" t="s">
        <v>23</v>
      </c>
      <c r="K413" s="3" t="s">
        <v>23</v>
      </c>
      <c r="L413" s="3"/>
      <c r="M413" s="3" t="s">
        <v>23</v>
      </c>
      <c r="N413" s="3"/>
      <c r="O413" s="3"/>
      <c r="P413" s="3"/>
      <c r="Q413" s="3" t="s">
        <v>23</v>
      </c>
      <c r="R413" s="3" t="s">
        <v>23</v>
      </c>
      <c r="S413" s="3"/>
      <c r="T413" s="3"/>
      <c r="U413" s="3"/>
      <c r="V413" s="3"/>
      <c r="W413" s="3"/>
    </row>
    <row r="414" spans="1:23" ht="27.6" customHeight="1" x14ac:dyDescent="0.25">
      <c r="A414" s="2" t="s">
        <v>586</v>
      </c>
      <c r="B414" s="3" t="s">
        <v>517</v>
      </c>
      <c r="C414" s="2" t="str">
        <f>INDEX(รายการสาร!$B:$B,MATCH($B414,รายการสาร!$A:$A,0))</f>
        <v>Ethy alcohol</v>
      </c>
      <c r="D414" s="2" t="str">
        <f>INDEX(รายการสาร!$C:$C,MATCH($B414,รายการสาร!$A:$A,0))</f>
        <v>Preservative solution 70%</v>
      </c>
      <c r="E414" s="2" t="s">
        <v>589</v>
      </c>
      <c r="F414" s="2" t="s">
        <v>588</v>
      </c>
      <c r="G414" s="3"/>
      <c r="H414" s="3" t="s">
        <v>23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 t="s">
        <v>23</v>
      </c>
    </row>
    <row r="415" spans="1:23" x14ac:dyDescent="0.25">
      <c r="A415" s="2" t="s">
        <v>586</v>
      </c>
      <c r="B415" s="3" t="s">
        <v>35</v>
      </c>
      <c r="C415" s="2" t="str">
        <f>INDEX(รายการสาร!$B:$B,MATCH($B415,รายการสาร!$A:$A,0))</f>
        <v>Alcohol Gel</v>
      </c>
      <c r="D415" s="2" t="str">
        <f>INDEX(รายการสาร!$C:$C,MATCH($B415,รายการสาร!$A:$A,0))</f>
        <v>Clear Hand Gel</v>
      </c>
      <c r="E415" s="2" t="s">
        <v>590</v>
      </c>
      <c r="F415" s="2" t="s">
        <v>588</v>
      </c>
      <c r="G415" s="3"/>
      <c r="H415" s="3" t="s">
        <v>23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 t="s">
        <v>23</v>
      </c>
    </row>
    <row r="416" spans="1:23" x14ac:dyDescent="0.25">
      <c r="A416" s="2" t="s">
        <v>586</v>
      </c>
      <c r="B416" s="3" t="s">
        <v>45</v>
      </c>
      <c r="C416" s="2" t="str">
        <f>INDEX(รายการสาร!$B:$B,MATCH($B416,รายการสาร!$A:$A,0))</f>
        <v>Alcohol Pad</v>
      </c>
      <c r="D416" s="2" t="str">
        <f>INDEX(รายการสาร!$C:$C,MATCH($B416,รายการสาร!$A:$A,0))</f>
        <v>Neoplast</v>
      </c>
      <c r="E416" s="2" t="s">
        <v>508</v>
      </c>
      <c r="F416" s="2" t="s">
        <v>588</v>
      </c>
      <c r="G416" s="3"/>
      <c r="H416" s="3" t="s">
        <v>23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 t="s">
        <v>23</v>
      </c>
    </row>
    <row r="417" spans="1:23" x14ac:dyDescent="0.25">
      <c r="A417" s="2" t="s">
        <v>586</v>
      </c>
      <c r="B417" s="3" t="s">
        <v>20</v>
      </c>
      <c r="C417" s="2" t="str">
        <f>INDEX(รายการสาร!$B:$B,MATCH($B417,รายการสาร!$A:$A,0))</f>
        <v>คิมแคร์สบู่เหลวล้างมือ</v>
      </c>
      <c r="D417" s="2" t="str">
        <f>INDEX(รายการสาร!$C:$C,MATCH($B417,รายการสาร!$A:$A,0))</f>
        <v>Kimcare</v>
      </c>
      <c r="E417" s="2" t="s">
        <v>250</v>
      </c>
      <c r="F417" s="2" t="s">
        <v>547</v>
      </c>
      <c r="G417" s="3"/>
      <c r="H417" s="3"/>
      <c r="I417" s="3"/>
      <c r="J417" s="3"/>
      <c r="K417" s="3"/>
      <c r="L417" s="3"/>
      <c r="M417" s="3"/>
      <c r="N417" s="3"/>
      <c r="O417" s="3" t="s">
        <v>23</v>
      </c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2" t="s">
        <v>586</v>
      </c>
      <c r="B418" s="3" t="s">
        <v>32</v>
      </c>
      <c r="C418" s="2" t="str">
        <f>INDEX(รายการสาร!$B:$B,MATCH($B418,รายการสาร!$A:$A,0))</f>
        <v>Gel ล้างมือติดผนัง</v>
      </c>
      <c r="D418" s="2" t="str">
        <f>INDEX(รายการสาร!$C:$C,MATCH($B418,รายการสาร!$A:$A,0))</f>
        <v>Purell</v>
      </c>
      <c r="E418" s="2" t="s">
        <v>128</v>
      </c>
      <c r="F418" s="2" t="s">
        <v>591</v>
      </c>
      <c r="G418" s="3"/>
      <c r="H418" s="3" t="s">
        <v>23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 t="s">
        <v>23</v>
      </c>
    </row>
    <row r="419" spans="1:23" x14ac:dyDescent="0.25">
      <c r="A419" s="2" t="s">
        <v>586</v>
      </c>
      <c r="B419" s="3" t="s">
        <v>73</v>
      </c>
      <c r="C419" s="2" t="str">
        <f>INDEX(รายการสาร!$B:$B,MATCH($B419,รายการสาร!$A:$A,0))</f>
        <v>chlorhexidine 2% in 70% alcohol</v>
      </c>
      <c r="D419" s="2" t="str">
        <f>INDEX(รายการสาร!$C:$C,MATCH($B419,รายการสาร!$A:$A,0))</f>
        <v>Prepskin-C</v>
      </c>
      <c r="E419" s="2" t="s">
        <v>243</v>
      </c>
      <c r="F419" s="2" t="s">
        <v>588</v>
      </c>
      <c r="G419" s="3"/>
      <c r="H419" s="3" t="s">
        <v>23</v>
      </c>
      <c r="I419" s="3"/>
      <c r="J419" s="3"/>
      <c r="K419" s="3"/>
      <c r="L419" s="3"/>
      <c r="M419" s="3"/>
      <c r="N419" s="3"/>
      <c r="O419" s="3" t="s">
        <v>23</v>
      </c>
      <c r="P419" s="3"/>
      <c r="Q419" s="3" t="s">
        <v>23</v>
      </c>
      <c r="R419" s="3"/>
      <c r="S419" s="3"/>
      <c r="T419" s="3"/>
      <c r="U419" s="3"/>
      <c r="V419" s="3"/>
      <c r="W419" s="3" t="s">
        <v>23</v>
      </c>
    </row>
    <row r="420" spans="1:23" x14ac:dyDescent="0.25">
      <c r="A420" s="2" t="s">
        <v>586</v>
      </c>
      <c r="B420" s="3" t="s">
        <v>592</v>
      </c>
      <c r="C420" s="2" t="str">
        <f>INDEX(รายการสาร!$B:$B,MATCH($B420,รายการสาร!$A:$A,0))</f>
        <v>4%chlohexidine scrub</v>
      </c>
      <c r="D420" s="2" t="str">
        <f>INDEX(รายการสาร!$C:$C,MATCH($B420,รายการสาร!$A:$A,0))</f>
        <v>Hexene</v>
      </c>
      <c r="E420" s="2" t="s">
        <v>593</v>
      </c>
      <c r="F420" s="2" t="s">
        <v>588</v>
      </c>
      <c r="G420" s="3"/>
      <c r="H420" s="3"/>
      <c r="I420" s="3"/>
      <c r="J420" s="3"/>
      <c r="K420" s="3"/>
      <c r="L420" s="3"/>
      <c r="M420" s="3"/>
      <c r="N420" s="3"/>
      <c r="O420" s="3" t="s">
        <v>23</v>
      </c>
      <c r="P420" s="3"/>
      <c r="Q420" s="3" t="s">
        <v>23</v>
      </c>
      <c r="R420" s="3"/>
      <c r="S420" s="3"/>
      <c r="T420" s="3"/>
      <c r="U420" s="3"/>
      <c r="V420" s="3"/>
      <c r="W420" s="3"/>
    </row>
    <row r="421" spans="1:23" ht="55.2" customHeight="1" x14ac:dyDescent="0.25">
      <c r="A421" s="2" t="s">
        <v>586</v>
      </c>
      <c r="B421" s="3" t="s">
        <v>137</v>
      </c>
      <c r="C421" s="2" t="str">
        <f>INDEX(รายการสาร!$B:$B,MATCH($B421,รายการสาร!$A:$A,0))</f>
        <v>0.5 % chlorhexidine in water (Hibitane 1:10)</v>
      </c>
      <c r="D421" s="2" t="str">
        <f>INDEX(รายการสาร!$C:$C,MATCH($B421,รายการสาร!$A:$A,0))</f>
        <v>0.5 % chlorhexidine in water (Hibitane 1:10)</v>
      </c>
      <c r="E421" s="2" t="s">
        <v>138</v>
      </c>
      <c r="F421" s="2" t="s">
        <v>588</v>
      </c>
      <c r="G421" s="3"/>
      <c r="H421" s="3"/>
      <c r="I421" s="3"/>
      <c r="J421" s="3"/>
      <c r="K421" s="3"/>
      <c r="L421" s="3"/>
      <c r="M421" s="3"/>
      <c r="N421" s="3"/>
      <c r="O421" s="3" t="s">
        <v>23</v>
      </c>
      <c r="P421" s="3"/>
      <c r="Q421" s="3" t="s">
        <v>23</v>
      </c>
      <c r="R421" s="3"/>
      <c r="S421" s="3"/>
      <c r="T421" s="3"/>
      <c r="U421" s="3"/>
      <c r="V421" s="3"/>
      <c r="W421" s="3"/>
    </row>
    <row r="422" spans="1:23" ht="55.2" customHeight="1" x14ac:dyDescent="0.25">
      <c r="A422" s="2" t="s">
        <v>586</v>
      </c>
      <c r="B422" s="3" t="s">
        <v>594</v>
      </c>
      <c r="C422" s="2" t="str">
        <f>INDEX(รายการสาร!$B:$B,MATCH($B422,รายการสาร!$A:$A,0))</f>
        <v>0.05 % chlorhexidine in water (Hibitane 1:100)</v>
      </c>
      <c r="D422" s="2" t="str">
        <f>INDEX(รายการสาร!$C:$C,MATCH($B422,รายการสาร!$A:$A,0))</f>
        <v>0.05 % chlorhexidine in water (Hibitane 1:100)</v>
      </c>
      <c r="E422" s="2" t="s">
        <v>595</v>
      </c>
      <c r="F422" s="2" t="s">
        <v>588</v>
      </c>
      <c r="G422" s="3"/>
      <c r="H422" s="3"/>
      <c r="I422" s="3"/>
      <c r="J422" s="3"/>
      <c r="K422" s="3"/>
      <c r="L422" s="3"/>
      <c r="M422" s="3"/>
      <c r="N422" s="3"/>
      <c r="O422" s="3" t="s">
        <v>23</v>
      </c>
      <c r="P422" s="3"/>
      <c r="Q422" s="3" t="s">
        <v>23</v>
      </c>
      <c r="R422" s="3"/>
      <c r="S422" s="3"/>
      <c r="T422" s="3"/>
      <c r="U422" s="3"/>
      <c r="V422" s="3"/>
      <c r="W422" s="3"/>
    </row>
    <row r="423" spans="1:23" ht="27.6" customHeight="1" x14ac:dyDescent="0.25">
      <c r="A423" s="2" t="s">
        <v>586</v>
      </c>
      <c r="B423" s="3" t="s">
        <v>60</v>
      </c>
      <c r="C423" s="2" t="str">
        <f>INDEX(รายการสาร!$B:$B,MATCH($B423,รายการสาร!$A:$A,0))</f>
        <v>GER-MA-WAY Disinfectant</v>
      </c>
      <c r="D423" s="2" t="str">
        <f>INDEX(รายการสาร!$C:$C,MATCH($B423,รายการสาร!$A:$A,0))</f>
        <v>GER-MA-WAY Disinfectant</v>
      </c>
      <c r="E423" s="2" t="s">
        <v>559</v>
      </c>
      <c r="F423" s="2" t="s">
        <v>588</v>
      </c>
      <c r="G423" s="3"/>
      <c r="H423" s="3"/>
      <c r="I423" s="3"/>
      <c r="J423" s="3"/>
      <c r="K423" s="3"/>
      <c r="L423" s="3"/>
      <c r="M423" s="3"/>
      <c r="N423" s="3"/>
      <c r="O423" s="3" t="s">
        <v>23</v>
      </c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2" t="s">
        <v>586</v>
      </c>
      <c r="B424" s="3" t="s">
        <v>57</v>
      </c>
      <c r="C424" s="2" t="str">
        <f>INDEX(รายการสาร!$B:$B,MATCH($B424,รายการสาร!$A:$A,0))</f>
        <v>Q-bac4 soap liquid</v>
      </c>
      <c r="D424" s="2" t="str">
        <f>INDEX(รายการสาร!$C:$C,MATCH($B424,รายการสาร!$A:$A,0))</f>
        <v>Q-bac4</v>
      </c>
      <c r="E424" s="2" t="s">
        <v>128</v>
      </c>
      <c r="F424" s="2" t="s">
        <v>117</v>
      </c>
      <c r="G424" s="3"/>
      <c r="H424" s="3"/>
      <c r="I424" s="3"/>
      <c r="J424" s="3"/>
      <c r="K424" s="3"/>
      <c r="L424" s="3"/>
      <c r="M424" s="3"/>
      <c r="N424" s="3"/>
      <c r="O424" s="3" t="s">
        <v>23</v>
      </c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2" t="s">
        <v>586</v>
      </c>
      <c r="B425" s="3" t="s">
        <v>596</v>
      </c>
      <c r="C425" s="2" t="str">
        <f>INDEX(รายการสาร!$B:$B,MATCH($B425,รายการสาร!$A:$A,0))</f>
        <v>Oxygen ถังเล็ก,ถังใหญ่</v>
      </c>
      <c r="D425" s="2" t="str">
        <f>INDEX(รายการสาร!$C:$C,MATCH($B425,รายการสาร!$A:$A,0))</f>
        <v>Oxygen</v>
      </c>
      <c r="E425" s="2" t="s">
        <v>597</v>
      </c>
      <c r="F425" s="2" t="s">
        <v>588</v>
      </c>
      <c r="G425" s="3"/>
      <c r="H425" s="3"/>
      <c r="I425" s="3"/>
      <c r="J425" s="3"/>
      <c r="K425" s="3"/>
      <c r="L425" s="3" t="s">
        <v>23</v>
      </c>
      <c r="M425" s="3"/>
      <c r="N425" s="3"/>
      <c r="O425" s="3" t="s">
        <v>23</v>
      </c>
      <c r="P425" s="3"/>
      <c r="Q425" s="3" t="s">
        <v>23</v>
      </c>
      <c r="R425" s="3" t="s">
        <v>23</v>
      </c>
      <c r="S425" s="3"/>
      <c r="T425" s="3"/>
      <c r="U425" s="3"/>
      <c r="V425" s="3"/>
      <c r="W425" s="3"/>
    </row>
    <row r="426" spans="1:23" x14ac:dyDescent="0.25">
      <c r="A426" s="2" t="s">
        <v>586</v>
      </c>
      <c r="B426" s="3" t="s">
        <v>40</v>
      </c>
      <c r="C426" s="2" t="str">
        <f>INDEX(รายการสาร!$B:$B,MATCH($B426,รายการสาร!$A:$A,0))</f>
        <v>Betadine</v>
      </c>
      <c r="D426" s="2" t="str">
        <f>INDEX(รายการสาร!$C:$C,MATCH($B426,รายการสาร!$A:$A,0))</f>
        <v>Betadine</v>
      </c>
      <c r="E426" s="2" t="s">
        <v>266</v>
      </c>
      <c r="F426" s="2" t="s">
        <v>588</v>
      </c>
      <c r="G426" s="3"/>
      <c r="H426" s="3"/>
      <c r="I426" s="3"/>
      <c r="J426" s="3"/>
      <c r="K426" s="3"/>
      <c r="L426" s="3"/>
      <c r="M426" s="3"/>
      <c r="N426" s="3"/>
      <c r="O426" s="3" t="s">
        <v>23</v>
      </c>
      <c r="P426" s="3"/>
      <c r="Q426" s="3" t="s">
        <v>23</v>
      </c>
      <c r="R426" s="3"/>
      <c r="S426" s="3"/>
      <c r="T426" s="3"/>
      <c r="U426" s="3"/>
      <c r="V426" s="3"/>
      <c r="W426" s="3"/>
    </row>
    <row r="427" spans="1:23" x14ac:dyDescent="0.25">
      <c r="A427" s="2" t="s">
        <v>586</v>
      </c>
      <c r="B427" s="3" t="s">
        <v>126</v>
      </c>
      <c r="C427" s="2" t="str">
        <f>INDEX(รายการสาร!$B:$B,MATCH($B427,รายการสาร!$A:$A,0))</f>
        <v>น้ำยาล้างเล็บ(LAPPA)</v>
      </c>
      <c r="D427" s="2" t="str">
        <f>INDEX(รายการสาร!$C:$C,MATCH($B427,รายการสาร!$A:$A,0))</f>
        <v>Polish Remover</v>
      </c>
      <c r="E427" s="2" t="s">
        <v>265</v>
      </c>
      <c r="F427" s="2" t="s">
        <v>588</v>
      </c>
      <c r="G427" s="3"/>
      <c r="H427" s="3" t="s">
        <v>23</v>
      </c>
      <c r="I427" s="3"/>
      <c r="J427" s="3"/>
      <c r="K427" s="3"/>
      <c r="L427" s="3"/>
      <c r="M427" s="3" t="s">
        <v>23</v>
      </c>
      <c r="N427" s="3"/>
      <c r="O427" s="3" t="s">
        <v>23</v>
      </c>
      <c r="P427" s="3"/>
      <c r="Q427" s="3" t="s">
        <v>23</v>
      </c>
      <c r="R427" s="3"/>
      <c r="S427" s="3"/>
      <c r="T427" s="3"/>
      <c r="U427" s="3"/>
      <c r="V427" s="3"/>
      <c r="W427" s="3" t="s">
        <v>23</v>
      </c>
    </row>
    <row r="428" spans="1:23" x14ac:dyDescent="0.25">
      <c r="A428" s="2" t="s">
        <v>598</v>
      </c>
      <c r="B428" s="3" t="s">
        <v>45</v>
      </c>
      <c r="C428" s="2" t="str">
        <f>INDEX(รายการสาร!$B:$B,MATCH($B428,รายการสาร!$A:$A,0))</f>
        <v>Alcohol Pad</v>
      </c>
      <c r="D428" s="2" t="str">
        <f>INDEX(รายการสาร!$C:$C,MATCH($B428,รายการสาร!$A:$A,0))</f>
        <v>Neoplast</v>
      </c>
      <c r="E428" s="2" t="s">
        <v>244</v>
      </c>
      <c r="F428" s="2" t="s">
        <v>119</v>
      </c>
      <c r="G428" s="3"/>
      <c r="H428" s="3" t="s">
        <v>23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 t="s">
        <v>23</v>
      </c>
    </row>
    <row r="429" spans="1:23" ht="27.6" customHeight="1" x14ac:dyDescent="0.25">
      <c r="A429" s="2" t="s">
        <v>598</v>
      </c>
      <c r="B429" s="3" t="s">
        <v>26</v>
      </c>
      <c r="C429" s="2" t="str">
        <f>INDEX(รายการสาร!$B:$B,MATCH($B429,รายการสาร!$A:$A,0))</f>
        <v>70% alcohol</v>
      </c>
      <c r="D429" s="2" t="str">
        <f>INDEX(รายการสาร!$C:$C,MATCH($B429,รายการสาร!$A:$A,0))</f>
        <v>Preservative solution 70%</v>
      </c>
      <c r="E429" s="2" t="s">
        <v>599</v>
      </c>
      <c r="F429" s="2" t="s">
        <v>119</v>
      </c>
      <c r="G429" s="3"/>
      <c r="H429" s="3" t="s">
        <v>23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 t="s">
        <v>23</v>
      </c>
    </row>
    <row r="430" spans="1:23" x14ac:dyDescent="0.25">
      <c r="A430" s="2" t="s">
        <v>598</v>
      </c>
      <c r="B430" s="3" t="s">
        <v>30</v>
      </c>
      <c r="C430" s="2" t="str">
        <f>INDEX(รายการสาร!$B:$B,MATCH($B430,รายการสาร!$A:$A,0))</f>
        <v>Ammonia</v>
      </c>
      <c r="D430" s="2" t="str">
        <f>INDEX(รายการสาร!$C:$C,MATCH($B430,รายการสาร!$A:$A,0))</f>
        <v>Ammonia</v>
      </c>
      <c r="E430" s="2" t="s">
        <v>248</v>
      </c>
      <c r="F430" s="2" t="s">
        <v>119</v>
      </c>
      <c r="G430" s="3"/>
      <c r="H430" s="3"/>
      <c r="I430" s="3"/>
      <c r="J430" s="3" t="s">
        <v>23</v>
      </c>
      <c r="K430" s="3" t="s">
        <v>23</v>
      </c>
      <c r="L430" s="3"/>
      <c r="M430" s="3" t="s">
        <v>23</v>
      </c>
      <c r="N430" s="3"/>
      <c r="O430" s="3"/>
      <c r="P430" s="3"/>
      <c r="Q430" s="3" t="s">
        <v>23</v>
      </c>
      <c r="R430" s="3" t="s">
        <v>23</v>
      </c>
      <c r="S430" s="3"/>
      <c r="T430" s="3"/>
      <c r="U430" s="3"/>
      <c r="V430" s="3"/>
      <c r="W430" s="3"/>
    </row>
    <row r="431" spans="1:23" x14ac:dyDescent="0.25">
      <c r="A431" s="2" t="s">
        <v>598</v>
      </c>
      <c r="B431" s="3" t="s">
        <v>126</v>
      </c>
      <c r="C431" s="2" t="str">
        <f>INDEX(รายการสาร!$B:$B,MATCH($B431,รายการสาร!$A:$A,0))</f>
        <v>น้ำยาล้างเล็บ(LAPPA)</v>
      </c>
      <c r="D431" s="2" t="str">
        <f>INDEX(รายการสาร!$C:$C,MATCH($B431,รายการสาร!$A:$A,0))</f>
        <v>Polish Remover</v>
      </c>
      <c r="E431" s="2" t="s">
        <v>127</v>
      </c>
      <c r="F431" s="2" t="s">
        <v>588</v>
      </c>
      <c r="G431" s="3"/>
      <c r="H431" s="3" t="s">
        <v>23</v>
      </c>
      <c r="I431" s="3"/>
      <c r="J431" s="3"/>
      <c r="K431" s="3"/>
      <c r="L431" s="3"/>
      <c r="M431" s="3" t="s">
        <v>23</v>
      </c>
      <c r="N431" s="3"/>
      <c r="O431" s="3" t="s">
        <v>23</v>
      </c>
      <c r="P431" s="3"/>
      <c r="Q431" s="3" t="s">
        <v>23</v>
      </c>
      <c r="R431" s="3"/>
      <c r="S431" s="3"/>
      <c r="T431" s="3"/>
      <c r="U431" s="3"/>
      <c r="V431" s="3"/>
      <c r="W431" s="3" t="s">
        <v>23</v>
      </c>
    </row>
    <row r="432" spans="1:23" x14ac:dyDescent="0.25">
      <c r="A432" s="2" t="s">
        <v>598</v>
      </c>
      <c r="B432" s="3" t="s">
        <v>35</v>
      </c>
      <c r="C432" s="2" t="str">
        <f>INDEX(รายการสาร!$B:$B,MATCH($B432,รายการสาร!$A:$A,0))</f>
        <v>Alcohol Gel</v>
      </c>
      <c r="D432" s="2" t="str">
        <f>INDEX(รายการสาร!$C:$C,MATCH($B432,รายการสาร!$A:$A,0))</f>
        <v>Clear Hand Gel</v>
      </c>
      <c r="E432" s="2" t="s">
        <v>546</v>
      </c>
      <c r="F432" s="2" t="s">
        <v>119</v>
      </c>
      <c r="G432" s="3"/>
      <c r="H432" s="3" t="s">
        <v>23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 t="s">
        <v>23</v>
      </c>
    </row>
    <row r="433" spans="1:23" x14ac:dyDescent="0.25">
      <c r="A433" s="2" t="s">
        <v>598</v>
      </c>
      <c r="B433" s="3" t="s">
        <v>40</v>
      </c>
      <c r="C433" s="2" t="str">
        <f>INDEX(รายการสาร!$B:$B,MATCH($B433,รายการสาร!$A:$A,0))</f>
        <v>Betadine</v>
      </c>
      <c r="D433" s="2" t="str">
        <f>INDEX(รายการสาร!$C:$C,MATCH($B433,รายการสาร!$A:$A,0))</f>
        <v>Betadine</v>
      </c>
      <c r="E433" s="2" t="s">
        <v>600</v>
      </c>
      <c r="F433" s="2" t="s">
        <v>119</v>
      </c>
      <c r="G433" s="3"/>
      <c r="H433" s="3"/>
      <c r="I433" s="3"/>
      <c r="J433" s="3"/>
      <c r="K433" s="3"/>
      <c r="L433" s="3"/>
      <c r="M433" s="3"/>
      <c r="N433" s="3"/>
      <c r="O433" s="3" t="s">
        <v>23</v>
      </c>
      <c r="P433" s="3"/>
      <c r="Q433" s="3" t="s">
        <v>23</v>
      </c>
      <c r="R433" s="3"/>
      <c r="S433" s="3"/>
      <c r="T433" s="3"/>
      <c r="U433" s="3"/>
      <c r="V433" s="3"/>
      <c r="W433" s="3"/>
    </row>
    <row r="434" spans="1:23" x14ac:dyDescent="0.25">
      <c r="A434" s="2" t="s">
        <v>598</v>
      </c>
      <c r="B434" s="3" t="s">
        <v>57</v>
      </c>
      <c r="C434" s="2" t="str">
        <f>INDEX(รายการสาร!$B:$B,MATCH($B434,รายการสาร!$A:$A,0))</f>
        <v>Q-bac4 soap liquid</v>
      </c>
      <c r="D434" s="2" t="str">
        <f>INDEX(รายการสาร!$C:$C,MATCH($B434,รายการสาร!$A:$A,0))</f>
        <v>Q-bac4</v>
      </c>
      <c r="E434" s="2" t="s">
        <v>128</v>
      </c>
      <c r="F434" s="2" t="s">
        <v>117</v>
      </c>
      <c r="G434" s="3"/>
      <c r="H434" s="3"/>
      <c r="I434" s="3"/>
      <c r="J434" s="3"/>
      <c r="K434" s="3"/>
      <c r="L434" s="3"/>
      <c r="M434" s="3"/>
      <c r="N434" s="3"/>
      <c r="O434" s="3" t="s">
        <v>23</v>
      </c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2" t="s">
        <v>598</v>
      </c>
      <c r="B435" s="3" t="s">
        <v>32</v>
      </c>
      <c r="C435" s="2" t="str">
        <f>INDEX(รายการสาร!$B:$B,MATCH($B435,รายการสาร!$A:$A,0))</f>
        <v>Gel ล้างมือติดผนัง</v>
      </c>
      <c r="D435" s="2" t="str">
        <f>INDEX(รายการสาร!$C:$C,MATCH($B435,รายการสาร!$A:$A,0))</f>
        <v>Purell</v>
      </c>
      <c r="E435" s="2" t="s">
        <v>128</v>
      </c>
      <c r="F435" s="2" t="s">
        <v>129</v>
      </c>
      <c r="G435" s="3"/>
      <c r="H435" s="3" t="s">
        <v>23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 t="s">
        <v>23</v>
      </c>
    </row>
    <row r="436" spans="1:23" ht="27.6" customHeight="1" x14ac:dyDescent="0.25">
      <c r="A436" s="2" t="s">
        <v>598</v>
      </c>
      <c r="B436" s="3" t="s">
        <v>60</v>
      </c>
      <c r="C436" s="2" t="str">
        <f>INDEX(รายการสาร!$B:$B,MATCH($B436,รายการสาร!$A:$A,0))</f>
        <v>GER-MA-WAY Disinfectant</v>
      </c>
      <c r="D436" s="2" t="str">
        <f>INDEX(รายการสาร!$C:$C,MATCH($B436,รายการสาร!$A:$A,0))</f>
        <v>GER-MA-WAY Disinfectant</v>
      </c>
      <c r="E436" s="2" t="s">
        <v>365</v>
      </c>
      <c r="F436" s="2" t="s">
        <v>119</v>
      </c>
      <c r="G436" s="3"/>
      <c r="H436" s="3"/>
      <c r="I436" s="3"/>
      <c r="J436" s="3"/>
      <c r="K436" s="3"/>
      <c r="L436" s="3"/>
      <c r="M436" s="3"/>
      <c r="N436" s="3"/>
      <c r="O436" s="3" t="s">
        <v>23</v>
      </c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2" t="s">
        <v>601</v>
      </c>
      <c r="B437" s="3" t="s">
        <v>602</v>
      </c>
      <c r="C437" s="2" t="str">
        <f>INDEX(รายการสาร!$B:$B,MATCH($B437,รายการสาร!$A:$A,0))</f>
        <v>Soda lime</v>
      </c>
      <c r="D437" s="2" t="str">
        <f>INDEX(รายการสาร!$C:$C,MATCH($B437,รายการสาร!$A:$A,0))</f>
        <v>Soda lime</v>
      </c>
      <c r="E437" s="2" t="s">
        <v>603</v>
      </c>
      <c r="F437" s="2" t="s">
        <v>236</v>
      </c>
      <c r="G437" s="3"/>
      <c r="H437" s="3"/>
      <c r="I437" s="3"/>
      <c r="J437" s="3"/>
      <c r="K437" s="3"/>
      <c r="L437" s="3"/>
      <c r="M437" s="3" t="s">
        <v>23</v>
      </c>
      <c r="N437" s="3"/>
      <c r="O437" s="3"/>
      <c r="P437" s="3"/>
      <c r="Q437" s="3" t="s">
        <v>23</v>
      </c>
      <c r="R437" s="3" t="s">
        <v>23</v>
      </c>
      <c r="S437" s="3" t="s">
        <v>23</v>
      </c>
      <c r="T437" s="3"/>
      <c r="U437" s="3"/>
      <c r="V437" s="3"/>
      <c r="W437" s="3"/>
    </row>
    <row r="438" spans="1:23" x14ac:dyDescent="0.25">
      <c r="A438" s="2" t="s">
        <v>601</v>
      </c>
      <c r="B438" s="3" t="s">
        <v>45</v>
      </c>
      <c r="C438" s="2" t="str">
        <f>INDEX(รายการสาร!$B:$B,MATCH($B438,รายการสาร!$A:$A,0))</f>
        <v>Alcohol Pad</v>
      </c>
      <c r="D438" s="2" t="str">
        <f>INDEX(รายการสาร!$C:$C,MATCH($B438,รายการสาร!$A:$A,0))</f>
        <v>Neoplast</v>
      </c>
      <c r="E438" s="2" t="s">
        <v>244</v>
      </c>
      <c r="F438" s="2" t="s">
        <v>426</v>
      </c>
      <c r="G438" s="3"/>
      <c r="H438" s="3" t="s">
        <v>23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 t="s">
        <v>23</v>
      </c>
    </row>
    <row r="439" spans="1:23" x14ac:dyDescent="0.25">
      <c r="A439" s="2" t="s">
        <v>601</v>
      </c>
      <c r="B439" s="3" t="s">
        <v>604</v>
      </c>
      <c r="C439" s="2" t="str">
        <f>INDEX(รายการสาร!$B:$B,MATCH($B439,รายการสาร!$A:$A,0))</f>
        <v>SEVORANE</v>
      </c>
      <c r="D439" s="2" t="str">
        <f>INDEX(รายการสาร!$C:$C,MATCH($B439,รายการสาร!$A:$A,0))</f>
        <v>SEVORANE</v>
      </c>
      <c r="E439" s="2" t="s">
        <v>605</v>
      </c>
      <c r="F439" s="2" t="s">
        <v>426</v>
      </c>
      <c r="G439" s="3"/>
      <c r="H439" s="3"/>
      <c r="I439" s="3"/>
      <c r="J439" s="3"/>
      <c r="K439" s="3"/>
      <c r="L439" s="3" t="s">
        <v>23</v>
      </c>
      <c r="M439" s="3"/>
      <c r="N439" s="3"/>
      <c r="O439" s="3"/>
      <c r="P439" s="3" t="s">
        <v>23</v>
      </c>
      <c r="Q439" s="3" t="s">
        <v>23</v>
      </c>
      <c r="R439" s="3"/>
      <c r="S439" s="3"/>
      <c r="T439" s="3"/>
      <c r="U439" s="3"/>
      <c r="V439" s="3"/>
      <c r="W439" s="3"/>
    </row>
    <row r="440" spans="1:23" x14ac:dyDescent="0.25">
      <c r="A440" s="2" t="s">
        <v>601</v>
      </c>
      <c r="B440" s="3" t="s">
        <v>606</v>
      </c>
      <c r="C440" s="2" t="str">
        <f>INDEX(รายการสาร!$B:$B,MATCH($B440,รายการสาร!$A:$A,0))</f>
        <v>SUPRANE</v>
      </c>
      <c r="D440" s="2" t="str">
        <f>INDEX(รายการสาร!$C:$C,MATCH($B440,รายการสาร!$A:$A,0))</f>
        <v>SUPRANE</v>
      </c>
      <c r="E440" s="2" t="s">
        <v>605</v>
      </c>
      <c r="F440" s="2" t="s">
        <v>426</v>
      </c>
      <c r="G440" s="3"/>
      <c r="H440" s="3"/>
      <c r="I440" s="3"/>
      <c r="J440" s="3"/>
      <c r="K440" s="3"/>
      <c r="L440" s="3"/>
      <c r="M440" s="3" t="s">
        <v>23</v>
      </c>
      <c r="N440" s="3"/>
      <c r="O440" s="3" t="s">
        <v>23</v>
      </c>
      <c r="P440" s="3"/>
      <c r="Q440" s="3" t="s">
        <v>23</v>
      </c>
      <c r="R440" s="3"/>
      <c r="S440" s="3"/>
      <c r="T440" s="3"/>
      <c r="U440" s="3"/>
      <c r="V440" s="3"/>
      <c r="W440" s="3"/>
    </row>
    <row r="441" spans="1:23" x14ac:dyDescent="0.25">
      <c r="A441" s="2" t="s">
        <v>601</v>
      </c>
      <c r="B441" s="3" t="s">
        <v>20</v>
      </c>
      <c r="C441" s="2" t="str">
        <f>INDEX(รายการสาร!$B:$B,MATCH($B441,รายการสาร!$A:$A,0))</f>
        <v>คิมแคร์สบู่เหลวล้างมือ</v>
      </c>
      <c r="D441" s="2" t="str">
        <f>INDEX(รายการสาร!$C:$C,MATCH($B441,รายการสาร!$A:$A,0))</f>
        <v>Kimcare</v>
      </c>
      <c r="E441" s="2" t="s">
        <v>250</v>
      </c>
      <c r="F441" s="2" t="s">
        <v>607</v>
      </c>
      <c r="G441" s="3"/>
      <c r="H441" s="3"/>
      <c r="I441" s="3"/>
      <c r="J441" s="3"/>
      <c r="K441" s="3"/>
      <c r="L441" s="3"/>
      <c r="M441" s="3"/>
      <c r="N441" s="3"/>
      <c r="O441" s="3" t="s">
        <v>23</v>
      </c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2" t="s">
        <v>601</v>
      </c>
      <c r="B442" s="3" t="s">
        <v>608</v>
      </c>
      <c r="C442" s="2" t="str">
        <f>INDEX(รายการสาร!$B:$B,MATCH($B442,รายการสาร!$A:$A,0))</f>
        <v>Oxygen Tank</v>
      </c>
      <c r="D442" s="2" t="str">
        <f>INDEX(รายการสาร!$C:$C,MATCH($B442,รายการสาร!$A:$A,0))</f>
        <v>Oxygen</v>
      </c>
      <c r="E442" s="2" t="s">
        <v>609</v>
      </c>
      <c r="F442" s="2" t="s">
        <v>610</v>
      </c>
      <c r="G442" s="3"/>
      <c r="H442" s="3"/>
      <c r="I442" s="3"/>
      <c r="J442" s="3"/>
      <c r="K442" s="3"/>
      <c r="L442" s="3" t="s">
        <v>23</v>
      </c>
      <c r="M442" s="3"/>
      <c r="N442" s="3"/>
      <c r="O442" s="3" t="s">
        <v>23</v>
      </c>
      <c r="P442" s="3"/>
      <c r="Q442" s="3" t="s">
        <v>23</v>
      </c>
      <c r="R442" s="3"/>
      <c r="S442" s="3"/>
      <c r="T442" s="3"/>
      <c r="U442" s="3"/>
      <c r="V442" s="3"/>
      <c r="W442" s="3"/>
    </row>
    <row r="443" spans="1:23" ht="27.6" customHeight="1" x14ac:dyDescent="0.25">
      <c r="A443" s="2" t="s">
        <v>601</v>
      </c>
      <c r="B443" s="3" t="s">
        <v>611</v>
      </c>
      <c r="C443" s="2" t="str">
        <f>INDEX(รายการสาร!$B:$B,MATCH($B443,รายการสาร!$A:$A,0))</f>
        <v>Neodisher Prestop</v>
      </c>
      <c r="D443" s="2" t="str">
        <f>INDEX(รายการสาร!$C:$C,MATCH($B443,รายการสาร!$A:$A,0))</f>
        <v>Neodisher Prestop</v>
      </c>
      <c r="E443" s="2" t="s">
        <v>509</v>
      </c>
      <c r="F443" s="2" t="s">
        <v>236</v>
      </c>
      <c r="G443" s="3"/>
      <c r="H443" s="3"/>
      <c r="I443" s="3"/>
      <c r="J443" s="3"/>
      <c r="K443" s="3"/>
      <c r="L443" s="3"/>
      <c r="M443" s="3"/>
      <c r="N443" s="3"/>
      <c r="O443" s="3" t="s">
        <v>23</v>
      </c>
      <c r="P443" s="3"/>
      <c r="Q443" s="3" t="s">
        <v>23</v>
      </c>
      <c r="R443" s="3"/>
      <c r="S443" s="3"/>
      <c r="T443" s="3"/>
      <c r="U443" s="3"/>
      <c r="V443" s="3"/>
      <c r="W443" s="3"/>
    </row>
    <row r="444" spans="1:23" x14ac:dyDescent="0.25">
      <c r="A444" s="2" t="s">
        <v>612</v>
      </c>
      <c r="B444" s="3" t="s">
        <v>45</v>
      </c>
      <c r="C444" s="2" t="str">
        <f>INDEX(รายการสาร!$B:$B,MATCH($B444,รายการสาร!$A:$A,0))</f>
        <v>Alcohol Pad</v>
      </c>
      <c r="D444" s="2" t="str">
        <f>INDEX(รายการสาร!$C:$C,MATCH($B444,รายการสาร!$A:$A,0))</f>
        <v>Neoplast</v>
      </c>
      <c r="E444" s="2" t="s">
        <v>275</v>
      </c>
      <c r="F444" s="2" t="s">
        <v>119</v>
      </c>
      <c r="G444" s="3"/>
      <c r="H444" s="3" t="s">
        <v>23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 t="s">
        <v>23</v>
      </c>
    </row>
    <row r="445" spans="1:23" ht="27.6" customHeight="1" x14ac:dyDescent="0.25">
      <c r="A445" s="2" t="s">
        <v>612</v>
      </c>
      <c r="B445" s="3" t="s">
        <v>26</v>
      </c>
      <c r="C445" s="2" t="str">
        <f>INDEX(รายการสาร!$B:$B,MATCH($B445,รายการสาร!$A:$A,0))</f>
        <v>70% alcohol</v>
      </c>
      <c r="D445" s="2" t="str">
        <f>INDEX(รายการสาร!$C:$C,MATCH($B445,รายการสาร!$A:$A,0))</f>
        <v>Preservative solution 70%</v>
      </c>
      <c r="E445" s="2" t="s">
        <v>541</v>
      </c>
      <c r="F445" s="2" t="s">
        <v>119</v>
      </c>
      <c r="G445" s="3"/>
      <c r="H445" s="3" t="s">
        <v>23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 t="s">
        <v>23</v>
      </c>
    </row>
    <row r="446" spans="1:23" x14ac:dyDescent="0.25">
      <c r="A446" s="2" t="s">
        <v>612</v>
      </c>
      <c r="B446" s="3" t="s">
        <v>40</v>
      </c>
      <c r="C446" s="2" t="str">
        <f>INDEX(รายการสาร!$B:$B,MATCH($B446,รายการสาร!$A:$A,0))</f>
        <v>Betadine</v>
      </c>
      <c r="D446" s="2" t="str">
        <f>INDEX(รายการสาร!$C:$C,MATCH($B446,รายการสาร!$A:$A,0))</f>
        <v>Betadine</v>
      </c>
      <c r="E446" s="2" t="s">
        <v>613</v>
      </c>
      <c r="F446" s="2" t="s">
        <v>119</v>
      </c>
      <c r="G446" s="3"/>
      <c r="H446" s="3"/>
      <c r="I446" s="3"/>
      <c r="J446" s="3"/>
      <c r="K446" s="3"/>
      <c r="L446" s="3"/>
      <c r="M446" s="3"/>
      <c r="N446" s="3"/>
      <c r="O446" s="3" t="s">
        <v>23</v>
      </c>
      <c r="P446" s="3"/>
      <c r="Q446" s="3" t="s">
        <v>23</v>
      </c>
      <c r="R446" s="3"/>
      <c r="S446" s="3"/>
      <c r="T446" s="3"/>
      <c r="U446" s="3"/>
      <c r="V446" s="3"/>
      <c r="W446" s="3"/>
    </row>
    <row r="447" spans="1:23" x14ac:dyDescent="0.25">
      <c r="A447" s="2" t="s">
        <v>612</v>
      </c>
      <c r="B447" s="3" t="s">
        <v>30</v>
      </c>
      <c r="C447" s="2" t="str">
        <f>INDEX(รายการสาร!$B:$B,MATCH($B447,รายการสาร!$A:$A,0))</f>
        <v>Ammonia</v>
      </c>
      <c r="D447" s="2" t="str">
        <f>INDEX(รายการสาร!$C:$C,MATCH($B447,รายการสาร!$A:$A,0))</f>
        <v>Ammonia</v>
      </c>
      <c r="E447" s="2" t="s">
        <v>232</v>
      </c>
      <c r="F447" s="2" t="s">
        <v>119</v>
      </c>
      <c r="G447" s="3"/>
      <c r="H447" s="3"/>
      <c r="I447" s="3"/>
      <c r="J447" s="3" t="s">
        <v>23</v>
      </c>
      <c r="K447" s="3" t="s">
        <v>23</v>
      </c>
      <c r="L447" s="3"/>
      <c r="M447" s="3" t="s">
        <v>23</v>
      </c>
      <c r="N447" s="3"/>
      <c r="O447" s="3"/>
      <c r="P447" s="3"/>
      <c r="Q447" s="3" t="s">
        <v>23</v>
      </c>
      <c r="R447" s="3" t="s">
        <v>23</v>
      </c>
      <c r="S447" s="3"/>
      <c r="T447" s="3"/>
      <c r="U447" s="3"/>
      <c r="V447" s="3"/>
      <c r="W447" s="3"/>
    </row>
    <row r="448" spans="1:23" x14ac:dyDescent="0.25">
      <c r="A448" s="2" t="s">
        <v>612</v>
      </c>
      <c r="B448" s="3" t="s">
        <v>35</v>
      </c>
      <c r="C448" s="2" t="str">
        <f>INDEX(รายการสาร!$B:$B,MATCH($B448,รายการสาร!$A:$A,0))</f>
        <v>Alcohol Gel</v>
      </c>
      <c r="D448" s="2" t="str">
        <f>INDEX(รายการสาร!$C:$C,MATCH($B448,รายการสาร!$A:$A,0))</f>
        <v>Clear Hand Gel</v>
      </c>
      <c r="E448" s="2" t="s">
        <v>546</v>
      </c>
      <c r="F448" s="2" t="s">
        <v>119</v>
      </c>
      <c r="G448" s="3"/>
      <c r="H448" s="3" t="s">
        <v>23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 t="s">
        <v>23</v>
      </c>
    </row>
    <row r="449" spans="1:23" x14ac:dyDescent="0.25">
      <c r="A449" s="2" t="s">
        <v>612</v>
      </c>
      <c r="B449" s="3" t="s">
        <v>57</v>
      </c>
      <c r="C449" s="2" t="str">
        <f>INDEX(รายการสาร!$B:$B,MATCH($B449,รายการสาร!$A:$A,0))</f>
        <v>Q-bac4 soap liquid</v>
      </c>
      <c r="D449" s="2" t="str">
        <f>INDEX(รายการสาร!$C:$C,MATCH($B449,รายการสาร!$A:$A,0))</f>
        <v>Q-bac4</v>
      </c>
      <c r="E449" s="2" t="s">
        <v>614</v>
      </c>
      <c r="F449" s="2" t="s">
        <v>117</v>
      </c>
      <c r="G449" s="3"/>
      <c r="H449" s="3"/>
      <c r="I449" s="3"/>
      <c r="J449" s="3"/>
      <c r="K449" s="3"/>
      <c r="L449" s="3"/>
      <c r="M449" s="3"/>
      <c r="N449" s="3"/>
      <c r="O449" s="3" t="s">
        <v>23</v>
      </c>
      <c r="P449" s="3"/>
      <c r="Q449" s="3"/>
      <c r="R449" s="3"/>
      <c r="S449" s="3"/>
      <c r="T449" s="3"/>
      <c r="U449" s="3"/>
      <c r="V449" s="3"/>
      <c r="W449" s="3"/>
    </row>
    <row r="450" spans="1:23" ht="27.6" customHeight="1" x14ac:dyDescent="0.25">
      <c r="A450" s="2" t="s">
        <v>615</v>
      </c>
      <c r="B450" s="3" t="s">
        <v>26</v>
      </c>
      <c r="C450" s="2" t="str">
        <f>INDEX(รายการสาร!$B:$B,MATCH($B450,รายการสาร!$A:$A,0))</f>
        <v>70% alcohol</v>
      </c>
      <c r="D450" s="2" t="str">
        <f>INDEX(รายการสาร!$C:$C,MATCH($B450,รายการสาร!$A:$A,0))</f>
        <v>Preservative solution 70%</v>
      </c>
      <c r="E450" s="2" t="s">
        <v>616</v>
      </c>
      <c r="F450" s="2" t="s">
        <v>617</v>
      </c>
      <c r="G450" s="3"/>
      <c r="H450" s="3" t="s">
        <v>23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 t="s">
        <v>23</v>
      </c>
    </row>
    <row r="451" spans="1:23" x14ac:dyDescent="0.25">
      <c r="A451" s="2" t="s">
        <v>615</v>
      </c>
      <c r="B451" s="3" t="s">
        <v>45</v>
      </c>
      <c r="C451" s="2" t="str">
        <f>INDEX(รายการสาร!$B:$B,MATCH($B451,รายการสาร!$A:$A,0))</f>
        <v>Alcohol Pad</v>
      </c>
      <c r="D451" s="2" t="str">
        <f>INDEX(รายการสาร!$C:$C,MATCH($B451,รายการสาร!$A:$A,0))</f>
        <v>Neoplast</v>
      </c>
      <c r="E451" s="2" t="s">
        <v>258</v>
      </c>
      <c r="F451" s="2" t="s">
        <v>617</v>
      </c>
      <c r="G451" s="3"/>
      <c r="H451" s="3" t="s">
        <v>23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 t="s">
        <v>23</v>
      </c>
    </row>
    <row r="452" spans="1:23" x14ac:dyDescent="0.25">
      <c r="A452" s="2" t="s">
        <v>615</v>
      </c>
      <c r="B452" s="3" t="s">
        <v>618</v>
      </c>
      <c r="C452" s="2" t="str">
        <f>INDEX(รายการสาร!$B:$B,MATCH($B452,รายการสาร!$A:$A,0))</f>
        <v>Betadin Solution</v>
      </c>
      <c r="D452" s="2" t="str">
        <f>INDEX(รายการสาร!$C:$C,MATCH($B452,รายการสาร!$A:$A,0))</f>
        <v>Betadin Solution</v>
      </c>
      <c r="E452" s="2" t="s">
        <v>619</v>
      </c>
      <c r="F452" s="2" t="s">
        <v>122</v>
      </c>
      <c r="G452" s="3"/>
      <c r="H452" s="3"/>
      <c r="I452" s="3"/>
      <c r="J452" s="3"/>
      <c r="K452" s="3"/>
      <c r="L452" s="3"/>
      <c r="M452" s="3"/>
      <c r="N452" s="3"/>
      <c r="O452" s="3" t="s">
        <v>23</v>
      </c>
      <c r="P452" s="3"/>
      <c r="Q452" s="3" t="s">
        <v>23</v>
      </c>
      <c r="R452" s="3"/>
      <c r="S452" s="3"/>
      <c r="T452" s="3"/>
      <c r="U452" s="3"/>
      <c r="V452" s="3"/>
      <c r="W452" s="3"/>
    </row>
    <row r="453" spans="1:23" ht="41.4" customHeight="1" x14ac:dyDescent="0.25">
      <c r="A453" s="2" t="s">
        <v>615</v>
      </c>
      <c r="B453" s="3" t="s">
        <v>113</v>
      </c>
      <c r="C453" s="2" t="str">
        <f>INDEX(รายการสาร!$B:$B,MATCH($B453,รายการสาร!$A:$A,0))</f>
        <v>น้ำยาล้างจาน</v>
      </c>
      <c r="D453" s="2" t="str">
        <f>INDEX(รายการสาร!$C:$C,MATCH($B453,รายการสาร!$A:$A,0))</f>
        <v>ไลปอนเอฟ หรือ มาวิน หรือ ซันไลต์</v>
      </c>
      <c r="E453" s="2" t="s">
        <v>111</v>
      </c>
      <c r="F453" s="2" t="s">
        <v>620</v>
      </c>
      <c r="G453" s="3"/>
      <c r="H453" s="3"/>
      <c r="I453" s="3"/>
      <c r="J453" s="3"/>
      <c r="K453" s="3"/>
      <c r="L453" s="3"/>
      <c r="M453" s="3"/>
      <c r="N453" s="3"/>
      <c r="O453" s="3" t="s">
        <v>23</v>
      </c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2" t="s">
        <v>615</v>
      </c>
      <c r="B454" s="3" t="s">
        <v>35</v>
      </c>
      <c r="C454" s="2" t="str">
        <f>INDEX(รายการสาร!$B:$B,MATCH($B454,รายการสาร!$A:$A,0))</f>
        <v>Alcohol Gel</v>
      </c>
      <c r="D454" s="2" t="str">
        <f>INDEX(รายการสาร!$C:$C,MATCH($B454,รายการสาร!$A:$A,0))</f>
        <v>Clear Hand Gel</v>
      </c>
      <c r="E454" s="2" t="s">
        <v>266</v>
      </c>
      <c r="F454" s="2" t="s">
        <v>617</v>
      </c>
      <c r="G454" s="3"/>
      <c r="H454" s="3" t="s">
        <v>23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 t="s">
        <v>23</v>
      </c>
    </row>
    <row r="455" spans="1:23" x14ac:dyDescent="0.25">
      <c r="A455" s="2" t="s">
        <v>615</v>
      </c>
      <c r="B455" s="3" t="s">
        <v>32</v>
      </c>
      <c r="C455" s="2" t="str">
        <f>INDEX(รายการสาร!$B:$B,MATCH($B455,รายการสาร!$A:$A,0))</f>
        <v>Gel ล้างมือติดผนัง</v>
      </c>
      <c r="D455" s="2" t="str">
        <f>INDEX(รายการสาร!$C:$C,MATCH($B455,รายการสาร!$A:$A,0))</f>
        <v>Purell</v>
      </c>
      <c r="E455" s="2" t="s">
        <v>128</v>
      </c>
      <c r="F455" s="2" t="s">
        <v>129</v>
      </c>
      <c r="G455" s="3"/>
      <c r="H455" s="3" t="s">
        <v>23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 t="s">
        <v>23</v>
      </c>
    </row>
    <row r="456" spans="1:23" x14ac:dyDescent="0.25">
      <c r="A456" s="2" t="s">
        <v>615</v>
      </c>
      <c r="B456" s="3" t="s">
        <v>20</v>
      </c>
      <c r="C456" s="2" t="str">
        <f>INDEX(รายการสาร!$B:$B,MATCH($B456,รายการสาร!$A:$A,0))</f>
        <v>คิมแคร์สบู่เหลวล้างมือ</v>
      </c>
      <c r="D456" s="2" t="str">
        <f>INDEX(รายการสาร!$C:$C,MATCH($B456,รายการสาร!$A:$A,0))</f>
        <v>Kimcare</v>
      </c>
      <c r="E456" s="2" t="s">
        <v>111</v>
      </c>
      <c r="F456" s="2" t="s">
        <v>620</v>
      </c>
      <c r="G456" s="3"/>
      <c r="H456" s="3"/>
      <c r="I456" s="3"/>
      <c r="J456" s="3"/>
      <c r="K456" s="3"/>
      <c r="L456" s="3"/>
      <c r="M456" s="3"/>
      <c r="N456" s="3"/>
      <c r="O456" s="3" t="s">
        <v>23</v>
      </c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2" t="s">
        <v>87</v>
      </c>
      <c r="B457" s="3" t="s">
        <v>85</v>
      </c>
      <c r="C457" s="2" t="str">
        <f>INDEX(รายการสาร!$B:$B,MATCH($B457,รายการสาร!$A:$A,0))</f>
        <v>Oxygen</v>
      </c>
      <c r="D457" s="2" t="str">
        <f>INDEX(รายการสาร!$C:$C,MATCH($B457,รายการสาร!$A:$A,0))</f>
        <v>Oxygen</v>
      </c>
      <c r="E457" s="2" t="s">
        <v>371</v>
      </c>
      <c r="F457" s="2" t="s">
        <v>122</v>
      </c>
      <c r="G457" s="3"/>
      <c r="H457" s="3"/>
      <c r="I457" s="3"/>
      <c r="J457" s="3"/>
      <c r="K457" s="3"/>
      <c r="L457" s="3" t="s">
        <v>23</v>
      </c>
      <c r="M457" s="3"/>
      <c r="N457" s="3"/>
      <c r="O457" s="3" t="s">
        <v>23</v>
      </c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2" t="s">
        <v>87</v>
      </c>
      <c r="B458" s="3" t="s">
        <v>276</v>
      </c>
      <c r="C458" s="2" t="str">
        <f>INDEX(รายการสาร!$B:$B,MATCH($B458,รายการสาร!$A:$A,0))</f>
        <v>Alcohol Gel</v>
      </c>
      <c r="D458" s="2" t="str">
        <f>INDEX(รายการสาร!$C:$C,MATCH($B458,รายการสาร!$A:$A,0))</f>
        <v>Clean hand Gel</v>
      </c>
      <c r="E458" s="2" t="s">
        <v>621</v>
      </c>
      <c r="F458" s="2" t="s">
        <v>122</v>
      </c>
      <c r="G458" s="3"/>
      <c r="H458" s="3" t="s">
        <v>23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 t="s">
        <v>23</v>
      </c>
    </row>
    <row r="459" spans="1:23" x14ac:dyDescent="0.25">
      <c r="A459" s="2" t="s">
        <v>87</v>
      </c>
      <c r="B459" s="3" t="s">
        <v>40</v>
      </c>
      <c r="C459" s="2" t="str">
        <f>INDEX(รายการสาร!$B:$B,MATCH($B459,รายการสาร!$A:$A,0))</f>
        <v>Betadine</v>
      </c>
      <c r="D459" s="2" t="str">
        <f>INDEX(รายการสาร!$C:$C,MATCH($B459,รายการสาร!$A:$A,0))</f>
        <v>Betadine</v>
      </c>
      <c r="E459" s="2" t="s">
        <v>576</v>
      </c>
      <c r="F459" s="2" t="s">
        <v>122</v>
      </c>
      <c r="G459" s="3"/>
      <c r="H459" s="3"/>
      <c r="I459" s="3"/>
      <c r="J459" s="3"/>
      <c r="K459" s="3"/>
      <c r="L459" s="3"/>
      <c r="M459" s="3"/>
      <c r="N459" s="3"/>
      <c r="O459" s="3" t="s">
        <v>23</v>
      </c>
      <c r="P459" s="3"/>
      <c r="Q459" s="3" t="s">
        <v>23</v>
      </c>
      <c r="R459" s="3"/>
      <c r="S459" s="3"/>
      <c r="T459" s="3"/>
      <c r="U459" s="3"/>
      <c r="V459" s="3"/>
      <c r="W459" s="3"/>
    </row>
    <row r="460" spans="1:23" ht="27.6" customHeight="1" x14ac:dyDescent="0.25">
      <c r="A460" s="2" t="s">
        <v>87</v>
      </c>
      <c r="B460" s="3" t="s">
        <v>26</v>
      </c>
      <c r="C460" s="2" t="str">
        <f>INDEX(รายการสาร!$B:$B,MATCH($B460,รายการสาร!$A:$A,0))</f>
        <v>70% alcohol</v>
      </c>
      <c r="D460" s="2" t="str">
        <f>INDEX(รายการสาร!$C:$C,MATCH($B460,รายการสาร!$A:$A,0))</f>
        <v>Preservative solution 70%</v>
      </c>
      <c r="E460" s="2" t="s">
        <v>622</v>
      </c>
      <c r="F460" s="2" t="s">
        <v>122</v>
      </c>
      <c r="G460" s="3"/>
      <c r="H460" s="3" t="s">
        <v>23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 t="s">
        <v>23</v>
      </c>
    </row>
    <row r="461" spans="1:23" x14ac:dyDescent="0.25">
      <c r="A461" s="2" t="s">
        <v>87</v>
      </c>
      <c r="B461" s="3" t="s">
        <v>32</v>
      </c>
      <c r="C461" s="2" t="str">
        <f>INDEX(รายการสาร!$B:$B,MATCH($B461,รายการสาร!$A:$A,0))</f>
        <v>Gel ล้างมือติดผนัง</v>
      </c>
      <c r="D461" s="2" t="str">
        <f>INDEX(รายการสาร!$C:$C,MATCH($B461,รายการสาร!$A:$A,0))</f>
        <v>Purell</v>
      </c>
      <c r="E461" s="2" t="s">
        <v>128</v>
      </c>
      <c r="F461" s="2" t="s">
        <v>129</v>
      </c>
      <c r="G461" s="3"/>
      <c r="H461" s="3" t="s">
        <v>23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 t="s">
        <v>23</v>
      </c>
    </row>
    <row r="462" spans="1:23" x14ac:dyDescent="0.25">
      <c r="A462" s="2" t="s">
        <v>87</v>
      </c>
      <c r="B462" s="3" t="s">
        <v>20</v>
      </c>
      <c r="C462" s="2" t="str">
        <f>INDEX(รายการสาร!$B:$B,MATCH($B462,รายการสาร!$A:$A,0))</f>
        <v>คิมแคร์สบู่เหลวล้างมือ</v>
      </c>
      <c r="D462" s="2" t="str">
        <f>INDEX(รายการสาร!$C:$C,MATCH($B462,รายการสาร!$A:$A,0))</f>
        <v>Kimcare</v>
      </c>
      <c r="E462" s="2" t="s">
        <v>111</v>
      </c>
      <c r="F462" s="2" t="s">
        <v>112</v>
      </c>
      <c r="G462" s="3"/>
      <c r="H462" s="3"/>
      <c r="I462" s="3"/>
      <c r="J462" s="3"/>
      <c r="K462" s="3"/>
      <c r="L462" s="3"/>
      <c r="M462" s="3"/>
      <c r="N462" s="3"/>
      <c r="O462" s="3" t="s">
        <v>23</v>
      </c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2" t="s">
        <v>623</v>
      </c>
      <c r="B463" s="3" t="s">
        <v>45</v>
      </c>
      <c r="C463" s="2" t="str">
        <f>INDEX(รายการสาร!$B:$B,MATCH($B463,รายการสาร!$A:$A,0))</f>
        <v>Alcohol Pad</v>
      </c>
      <c r="D463" s="2" t="str">
        <f>INDEX(รายการสาร!$C:$C,MATCH($B463,รายการสาร!$A:$A,0))</f>
        <v>Neoplast</v>
      </c>
      <c r="E463" s="2" t="s">
        <v>624</v>
      </c>
      <c r="F463" s="2" t="s">
        <v>122</v>
      </c>
      <c r="G463" s="3"/>
      <c r="H463" s="3" t="s">
        <v>23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 t="s">
        <v>23</v>
      </c>
    </row>
    <row r="464" spans="1:23" x14ac:dyDescent="0.25">
      <c r="A464" s="2" t="s">
        <v>623</v>
      </c>
      <c r="B464" s="3" t="s">
        <v>30</v>
      </c>
      <c r="C464" s="2" t="str">
        <f>INDEX(รายการสาร!$B:$B,MATCH($B464,รายการสาร!$A:$A,0))</f>
        <v>Ammonia</v>
      </c>
      <c r="D464" s="2" t="str">
        <f>INDEX(รายการสาร!$C:$C,MATCH($B464,รายการสาร!$A:$A,0))</f>
        <v>Ammonia</v>
      </c>
      <c r="E464" s="2" t="s">
        <v>625</v>
      </c>
      <c r="F464" s="2" t="s">
        <v>122</v>
      </c>
      <c r="G464" s="3"/>
      <c r="H464" s="3"/>
      <c r="I464" s="3"/>
      <c r="J464" s="3" t="s">
        <v>23</v>
      </c>
      <c r="K464" s="3" t="s">
        <v>23</v>
      </c>
      <c r="L464" s="3"/>
      <c r="M464" s="3" t="s">
        <v>23</v>
      </c>
      <c r="N464" s="3"/>
      <c r="O464" s="3"/>
      <c r="P464" s="3"/>
      <c r="Q464" s="3" t="s">
        <v>23</v>
      </c>
      <c r="R464" s="3" t="s">
        <v>23</v>
      </c>
      <c r="S464" s="3"/>
      <c r="T464" s="3"/>
      <c r="U464" s="3"/>
      <c r="V464" s="3"/>
      <c r="W464" s="3"/>
    </row>
    <row r="465" spans="1:23" x14ac:dyDescent="0.25">
      <c r="A465" s="2" t="s">
        <v>623</v>
      </c>
      <c r="B465" s="3" t="s">
        <v>276</v>
      </c>
      <c r="C465" s="2" t="str">
        <f>INDEX(รายการสาร!$B:$B,MATCH($B465,รายการสาร!$A:$A,0))</f>
        <v>Alcohol Gel</v>
      </c>
      <c r="D465" s="2" t="str">
        <f>INDEX(รายการสาร!$C:$C,MATCH($B465,รายการสาร!$A:$A,0))</f>
        <v>Clean hand Gel</v>
      </c>
      <c r="E465" s="2" t="s">
        <v>621</v>
      </c>
      <c r="F465" s="2" t="s">
        <v>122</v>
      </c>
      <c r="G465" s="3"/>
      <c r="H465" s="3" t="s">
        <v>23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 t="s">
        <v>23</v>
      </c>
    </row>
    <row r="466" spans="1:23" x14ac:dyDescent="0.25">
      <c r="A466" s="2" t="s">
        <v>623</v>
      </c>
      <c r="B466" s="3" t="s">
        <v>40</v>
      </c>
      <c r="C466" s="2" t="str">
        <f>INDEX(รายการสาร!$B:$B,MATCH($B466,รายการสาร!$A:$A,0))</f>
        <v>Betadine</v>
      </c>
      <c r="D466" s="2" t="str">
        <f>INDEX(รายการสาร!$C:$C,MATCH($B466,รายการสาร!$A:$A,0))</f>
        <v>Betadine</v>
      </c>
      <c r="E466" s="2" t="s">
        <v>626</v>
      </c>
      <c r="F466" s="2" t="s">
        <v>122</v>
      </c>
      <c r="G466" s="3"/>
      <c r="H466" s="3"/>
      <c r="I466" s="3"/>
      <c r="J466" s="3"/>
      <c r="K466" s="3"/>
      <c r="L466" s="3"/>
      <c r="M466" s="3"/>
      <c r="N466" s="3"/>
      <c r="O466" s="3" t="s">
        <v>23</v>
      </c>
      <c r="P466" s="3"/>
      <c r="Q466" s="3" t="s">
        <v>23</v>
      </c>
      <c r="R466" s="3"/>
      <c r="S466" s="3"/>
      <c r="T466" s="3"/>
      <c r="U466" s="3"/>
      <c r="V466" s="3"/>
      <c r="W466" s="3"/>
    </row>
    <row r="467" spans="1:23" ht="27.6" customHeight="1" x14ac:dyDescent="0.25">
      <c r="A467" s="2" t="s">
        <v>623</v>
      </c>
      <c r="B467" s="3" t="s">
        <v>26</v>
      </c>
      <c r="C467" s="2" t="str">
        <f>INDEX(รายการสาร!$B:$B,MATCH($B467,รายการสาร!$A:$A,0))</f>
        <v>70% alcohol</v>
      </c>
      <c r="D467" s="2" t="str">
        <f>INDEX(รายการสาร!$C:$C,MATCH($B467,รายการสาร!$A:$A,0))</f>
        <v>Preservative solution 70%</v>
      </c>
      <c r="E467" s="2" t="s">
        <v>627</v>
      </c>
      <c r="F467" s="2" t="s">
        <v>122</v>
      </c>
      <c r="G467" s="3"/>
      <c r="H467" s="3" t="s">
        <v>23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 t="s">
        <v>23</v>
      </c>
    </row>
    <row r="468" spans="1:23" x14ac:dyDescent="0.25">
      <c r="A468" s="2" t="s">
        <v>623</v>
      </c>
      <c r="B468" s="3" t="s">
        <v>628</v>
      </c>
      <c r="C468" s="2" t="str">
        <f>INDEX(รายการสาร!$B:$B,MATCH($B468,รายการสาร!$A:$A,0))</f>
        <v>Chlorhexidine 2 % in 70 % alcohol</v>
      </c>
      <c r="D468" s="2" t="str">
        <f>INDEX(รายการสาร!$C:$C,MATCH($B468,รายการสาร!$A:$A,0))</f>
        <v>Prepskin-C</v>
      </c>
      <c r="E468" s="2" t="s">
        <v>274</v>
      </c>
      <c r="F468" s="2" t="s">
        <v>122</v>
      </c>
      <c r="G468" s="3"/>
      <c r="H468" s="3" t="s">
        <v>23</v>
      </c>
      <c r="I468" s="3"/>
      <c r="J468" s="3"/>
      <c r="K468" s="3"/>
      <c r="L468" s="3"/>
      <c r="M468" s="3"/>
      <c r="N468" s="3"/>
      <c r="O468" s="3" t="s">
        <v>23</v>
      </c>
      <c r="P468" s="3"/>
      <c r="Q468" s="3" t="s">
        <v>23</v>
      </c>
      <c r="R468" s="3"/>
      <c r="S468" s="3"/>
      <c r="T468" s="3"/>
      <c r="U468" s="3"/>
      <c r="V468" s="3"/>
      <c r="W468" s="3" t="s">
        <v>23</v>
      </c>
    </row>
    <row r="469" spans="1:23" x14ac:dyDescent="0.25">
      <c r="A469" s="2" t="s">
        <v>623</v>
      </c>
      <c r="B469" s="3" t="s">
        <v>20</v>
      </c>
      <c r="C469" s="2" t="str">
        <f>INDEX(รายการสาร!$B:$B,MATCH($B469,รายการสาร!$A:$A,0))</f>
        <v>คิมแคร์สบู่เหลวล้างมือ</v>
      </c>
      <c r="D469" s="2" t="str">
        <f>INDEX(รายการสาร!$C:$C,MATCH($B469,รายการสาร!$A:$A,0))</f>
        <v>Kimcare</v>
      </c>
      <c r="E469" s="2" t="s">
        <v>250</v>
      </c>
      <c r="F469" s="2" t="s">
        <v>117</v>
      </c>
      <c r="G469" s="3"/>
      <c r="H469" s="3"/>
      <c r="I469" s="3"/>
      <c r="J469" s="3"/>
      <c r="K469" s="3"/>
      <c r="L469" s="3"/>
      <c r="M469" s="3"/>
      <c r="N469" s="3"/>
      <c r="O469" s="3" t="s">
        <v>23</v>
      </c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2" t="s">
        <v>623</v>
      </c>
      <c r="B470" s="3" t="s">
        <v>32</v>
      </c>
      <c r="C470" s="2" t="str">
        <f>INDEX(รายการสาร!$B:$B,MATCH($B470,รายการสาร!$A:$A,0))</f>
        <v>Gel ล้างมือติดผนัง</v>
      </c>
      <c r="D470" s="2" t="str">
        <f>INDEX(รายการสาร!$C:$C,MATCH($B470,รายการสาร!$A:$A,0))</f>
        <v>Purell</v>
      </c>
      <c r="E470" s="2" t="s">
        <v>128</v>
      </c>
      <c r="F470" s="2" t="s">
        <v>122</v>
      </c>
      <c r="G470" s="3"/>
      <c r="H470" s="3" t="s">
        <v>23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 t="s">
        <v>23</v>
      </c>
    </row>
    <row r="471" spans="1:23" ht="41.4" customHeight="1" x14ac:dyDescent="0.25">
      <c r="A471" s="2" t="s">
        <v>629</v>
      </c>
      <c r="B471" s="3" t="s">
        <v>113</v>
      </c>
      <c r="C471" s="2" t="str">
        <f>INDEX(รายการสาร!$B:$B,MATCH($B471,รายการสาร!$A:$A,0))</f>
        <v>น้ำยาล้างจาน</v>
      </c>
      <c r="D471" s="2" t="str">
        <f>INDEX(รายการสาร!$C:$C,MATCH($B471,รายการสาร!$A:$A,0))</f>
        <v>ไลปอนเอฟ หรือ มาวิน หรือ ซันไลต์</v>
      </c>
      <c r="E471" s="2" t="s">
        <v>111</v>
      </c>
      <c r="F471" s="2" t="s">
        <v>630</v>
      </c>
      <c r="G471" s="3"/>
      <c r="H471" s="3"/>
      <c r="I471" s="3"/>
      <c r="J471" s="3"/>
      <c r="K471" s="3"/>
      <c r="L471" s="3"/>
      <c r="M471" s="3"/>
      <c r="N471" s="3"/>
      <c r="O471" s="3" t="s">
        <v>23</v>
      </c>
      <c r="P471" s="3"/>
      <c r="Q471" s="3"/>
      <c r="R471" s="3"/>
      <c r="S471" s="3"/>
      <c r="T471" s="3"/>
      <c r="U471" s="3"/>
      <c r="V471" s="3"/>
      <c r="W471" s="3"/>
    </row>
    <row r="472" spans="1:23" ht="27.6" customHeight="1" x14ac:dyDescent="0.25">
      <c r="A472" s="2" t="s">
        <v>629</v>
      </c>
      <c r="B472" s="3" t="s">
        <v>631</v>
      </c>
      <c r="C472" s="2" t="str">
        <f>INDEX(รายการสาร!$B:$B,MATCH($B472,รายการสาร!$A:$A,0))</f>
        <v>สเปร์หล่อลื่นโซแน็ค</v>
      </c>
      <c r="D472" s="2" t="str">
        <f>INDEX(รายการสาร!$C:$C,MATCH($B472,รายการสาร!$A:$A,0))</f>
        <v>สเปร์หล่อลื่นโซแน็ค</v>
      </c>
      <c r="E472" s="2" t="s">
        <v>383</v>
      </c>
      <c r="F472" s="2" t="s">
        <v>630</v>
      </c>
      <c r="G472" s="3"/>
      <c r="H472" s="3"/>
      <c r="I472" s="3"/>
      <c r="J472" s="3"/>
      <c r="K472" s="3"/>
      <c r="L472" s="3" t="s">
        <v>23</v>
      </c>
      <c r="M472" s="3" t="s">
        <v>23</v>
      </c>
      <c r="N472" s="3" t="s">
        <v>23</v>
      </c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2" t="s">
        <v>629</v>
      </c>
      <c r="B473" s="3" t="s">
        <v>632</v>
      </c>
      <c r="C473" s="2" t="str">
        <f>INDEX(รายการสาร!$B:$B,MATCH($B473,รายการสาร!$A:$A,0))</f>
        <v>แอลกอฮอล 70%</v>
      </c>
      <c r="D473" s="2" t="str">
        <f>INDEX(รายการสาร!$C:$C,MATCH($B473,รายการสาร!$A:$A,0))</f>
        <v>แอลกอฮอล 70%</v>
      </c>
      <c r="E473" s="2" t="s">
        <v>633</v>
      </c>
      <c r="F473" s="2" t="s">
        <v>630</v>
      </c>
      <c r="G473" s="3"/>
      <c r="H473" s="3" t="s">
        <v>23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 t="s">
        <v>23</v>
      </c>
    </row>
    <row r="474" spans="1:23" ht="41.4" customHeight="1" x14ac:dyDescent="0.25">
      <c r="A474" s="2" t="s">
        <v>629</v>
      </c>
      <c r="B474" s="3" t="s">
        <v>634</v>
      </c>
      <c r="C474" s="2" t="str">
        <f>INDEX(รายการสาร!$B:$B,MATCH($B474,รายการสาร!$A:$A,0))</f>
        <v>น้ำยาอเนกประสงค์ Touche Klean</v>
      </c>
      <c r="D474" s="2" t="str">
        <f>INDEX(รายการสาร!$C:$C,MATCH($B474,รายการสาร!$A:$A,0))</f>
        <v>น้ำยาอเนกประสงค์ Touche Klean</v>
      </c>
      <c r="E474" s="2" t="s">
        <v>412</v>
      </c>
      <c r="F474" s="2" t="s">
        <v>630</v>
      </c>
      <c r="G474" s="3"/>
      <c r="H474" s="3"/>
      <c r="I474" s="3"/>
      <c r="J474" s="3"/>
      <c r="K474" s="3"/>
      <c r="L474" s="3"/>
      <c r="M474" s="3" t="s">
        <v>23</v>
      </c>
      <c r="N474" s="3"/>
      <c r="O474" s="3" t="s">
        <v>23</v>
      </c>
      <c r="P474" s="3"/>
      <c r="Q474" s="3" t="s">
        <v>23</v>
      </c>
      <c r="R474" s="3"/>
      <c r="S474" s="3"/>
      <c r="T474" s="3"/>
      <c r="U474" s="3"/>
      <c r="V474" s="3"/>
      <c r="W474" s="3"/>
    </row>
    <row r="475" spans="1:23" ht="27.6" customHeight="1" x14ac:dyDescent="0.25">
      <c r="A475" s="2" t="s">
        <v>635</v>
      </c>
      <c r="B475" s="3" t="s">
        <v>26</v>
      </c>
      <c r="C475" s="2" t="str">
        <f>INDEX(รายการสาร!$B:$B,MATCH($B475,รายการสาร!$A:$A,0))</f>
        <v>70% alcohol</v>
      </c>
      <c r="D475" s="2" t="str">
        <f>INDEX(รายการสาร!$C:$C,MATCH($B475,รายการสาร!$A:$A,0))</f>
        <v>Preservative solution 70%</v>
      </c>
      <c r="E475" s="2" t="s">
        <v>274</v>
      </c>
      <c r="F475" s="2" t="s">
        <v>353</v>
      </c>
      <c r="G475" s="3"/>
      <c r="H475" s="3" t="s">
        <v>23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 t="s">
        <v>23</v>
      </c>
    </row>
    <row r="476" spans="1:23" x14ac:dyDescent="0.25">
      <c r="A476" s="2" t="s">
        <v>635</v>
      </c>
      <c r="B476" s="3" t="s">
        <v>636</v>
      </c>
      <c r="C476" s="2" t="str">
        <f>INDEX(รายการสาร!$B:$B,MATCH($B476,รายการสาร!$A:$A,0))</f>
        <v>Alcohol Pad</v>
      </c>
      <c r="D476" s="2" t="str">
        <f>INDEX(รายการสาร!$C:$C,MATCH($B476,รายการสาร!$A:$A,0))</f>
        <v>Alcohol pad</v>
      </c>
      <c r="E476" s="2" t="s">
        <v>258</v>
      </c>
      <c r="F476" s="2" t="s">
        <v>353</v>
      </c>
      <c r="G476" s="3"/>
      <c r="H476" s="3" t="s">
        <v>23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 t="s">
        <v>23</v>
      </c>
    </row>
    <row r="477" spans="1:23" ht="27.6" customHeight="1" x14ac:dyDescent="0.25">
      <c r="A477" s="2" t="s">
        <v>635</v>
      </c>
      <c r="B477" s="3" t="s">
        <v>637</v>
      </c>
      <c r="C477" s="2" t="str">
        <f>INDEX(รายการสาร!$B:$B,MATCH($B477,รายการสาร!$A:$A,0))</f>
        <v>95% Alcohol</v>
      </c>
      <c r="D477" s="2" t="str">
        <f>INDEX(รายการสาร!$C:$C,MATCH($B477,รายการสาร!$A:$A,0))</f>
        <v>Preservative solution 95%</v>
      </c>
      <c r="E477" s="2" t="s">
        <v>530</v>
      </c>
      <c r="F477" s="2" t="s">
        <v>353</v>
      </c>
      <c r="G477" s="3"/>
      <c r="H477" s="3" t="s">
        <v>23</v>
      </c>
      <c r="I477" s="3"/>
      <c r="J477" s="3"/>
      <c r="K477" s="3"/>
      <c r="L477" s="3"/>
      <c r="M477" s="3"/>
      <c r="N477" s="3"/>
      <c r="O477" s="3"/>
      <c r="P477" s="3"/>
      <c r="Q477" s="3" t="s">
        <v>23</v>
      </c>
      <c r="R477" s="3" t="s">
        <v>23</v>
      </c>
      <c r="S477" s="3"/>
      <c r="T477" s="3"/>
      <c r="U477" s="3"/>
      <c r="V477" s="3"/>
      <c r="W477" s="3" t="s">
        <v>23</v>
      </c>
    </row>
    <row r="478" spans="1:23" x14ac:dyDescent="0.25">
      <c r="A478" s="2" t="s">
        <v>635</v>
      </c>
      <c r="B478" s="3" t="s">
        <v>276</v>
      </c>
      <c r="C478" s="2" t="str">
        <f>INDEX(รายการสาร!$B:$B,MATCH($B478,รายการสาร!$A:$A,0))</f>
        <v>Alcohol Gel</v>
      </c>
      <c r="D478" s="2" t="str">
        <f>INDEX(รายการสาร!$C:$C,MATCH($B478,รายการสาร!$A:$A,0))</f>
        <v>Clean hand Gel</v>
      </c>
      <c r="E478" s="2" t="s">
        <v>266</v>
      </c>
      <c r="F478" s="2" t="s">
        <v>638</v>
      </c>
      <c r="G478" s="3"/>
      <c r="H478" s="3" t="s">
        <v>23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 t="s">
        <v>23</v>
      </c>
    </row>
    <row r="479" spans="1:23" x14ac:dyDescent="0.25">
      <c r="A479" s="2" t="s">
        <v>635</v>
      </c>
      <c r="B479" s="3" t="s">
        <v>639</v>
      </c>
      <c r="C479" s="2" t="str">
        <f>INDEX(รายการสาร!$B:$B,MATCH($B479,รายการสาร!$A:$A,0))</f>
        <v>Betadine Sulution</v>
      </c>
      <c r="D479" s="2" t="str">
        <f>INDEX(รายการสาร!$C:$C,MATCH($B479,รายการสาร!$A:$A,0))</f>
        <v>Iodine</v>
      </c>
      <c r="E479" s="2" t="s">
        <v>121</v>
      </c>
      <c r="F479" s="2" t="s">
        <v>353</v>
      </c>
      <c r="G479" s="3"/>
      <c r="H479" s="3"/>
      <c r="I479" s="3"/>
      <c r="J479" s="3"/>
      <c r="K479" s="3"/>
      <c r="L479" s="3"/>
      <c r="M479" s="3"/>
      <c r="N479" s="3"/>
      <c r="O479" s="3" t="s">
        <v>23</v>
      </c>
      <c r="P479" s="3"/>
      <c r="Q479" s="3" t="s">
        <v>23</v>
      </c>
      <c r="R479" s="3"/>
      <c r="S479" s="3"/>
      <c r="T479" s="3"/>
      <c r="U479" s="3"/>
      <c r="V479" s="3"/>
      <c r="W479" s="3"/>
    </row>
    <row r="480" spans="1:23" ht="27.6" customHeight="1" x14ac:dyDescent="0.25">
      <c r="A480" s="2" t="s">
        <v>635</v>
      </c>
      <c r="B480" s="3" t="s">
        <v>516</v>
      </c>
      <c r="C480" s="2" t="str">
        <f>INDEX(รายการสาร!$B:$B,MATCH($B480,รายการสาร!$A:$A,0))</f>
        <v>Gel ล้างมือตืดผนัง</v>
      </c>
      <c r="D480" s="2" t="str">
        <f>INDEX(รายการสาร!$C:$C,MATCH($B480,รายการสาร!$A:$A,0))</f>
        <v>Purell (Hand Sanitizer)</v>
      </c>
      <c r="E480" s="2" t="s">
        <v>128</v>
      </c>
      <c r="F480" s="2" t="s">
        <v>117</v>
      </c>
      <c r="G480" s="3"/>
      <c r="H480" s="3" t="s">
        <v>23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 t="s">
        <v>23</v>
      </c>
    </row>
    <row r="481" spans="1:23" x14ac:dyDescent="0.25">
      <c r="A481" s="2" t="s">
        <v>38</v>
      </c>
      <c r="B481" s="3" t="s">
        <v>35</v>
      </c>
      <c r="C481" s="2" t="str">
        <f>INDEX(รายการสาร!$B:$B,MATCH($B481,รายการสาร!$A:$A,0))</f>
        <v>Alcohol Gel</v>
      </c>
      <c r="D481" s="2" t="str">
        <f>INDEX(รายการสาร!$C:$C,MATCH($B481,รายการสาร!$A:$A,0))</f>
        <v>Clear Hand Gel</v>
      </c>
      <c r="E481" s="2" t="s">
        <v>546</v>
      </c>
      <c r="F481" s="2" t="s">
        <v>122</v>
      </c>
      <c r="G481" s="3"/>
      <c r="H481" s="3" t="s">
        <v>23</v>
      </c>
      <c r="I481" s="3"/>
      <c r="J481" s="3"/>
      <c r="K481" s="3"/>
      <c r="L481" s="3"/>
      <c r="M481" s="3"/>
      <c r="N481" s="3"/>
      <c r="O481" s="3"/>
      <c r="P481" s="3"/>
      <c r="Q481" s="3" t="s">
        <v>23</v>
      </c>
      <c r="R481" s="3" t="s">
        <v>23</v>
      </c>
      <c r="S481" s="3"/>
      <c r="T481" s="3"/>
      <c r="U481" s="3"/>
      <c r="V481" s="3"/>
      <c r="W481" s="3" t="s">
        <v>23</v>
      </c>
    </row>
    <row r="482" spans="1:23" x14ac:dyDescent="0.25">
      <c r="A482" s="2" t="s">
        <v>38</v>
      </c>
      <c r="B482" s="3" t="s">
        <v>45</v>
      </c>
      <c r="C482" s="2" t="str">
        <f>INDEX(รายการสาร!$B:$B,MATCH($B482,รายการสาร!$A:$A,0))</f>
        <v>Alcohol Pad</v>
      </c>
      <c r="D482" s="2" t="str">
        <f>INDEX(รายการสาร!$C:$C,MATCH($B482,รายการสาร!$A:$A,0))</f>
        <v>Neoplast</v>
      </c>
      <c r="E482" s="2" t="s">
        <v>559</v>
      </c>
      <c r="F482" s="2" t="s">
        <v>122</v>
      </c>
      <c r="G482" s="3"/>
      <c r="H482" s="3" t="s">
        <v>23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 t="s">
        <v>23</v>
      </c>
    </row>
    <row r="483" spans="1:23" ht="27.6" customHeight="1" x14ac:dyDescent="0.25">
      <c r="A483" s="2" t="s">
        <v>38</v>
      </c>
      <c r="B483" s="3" t="s">
        <v>579</v>
      </c>
      <c r="C483" s="2" t="str">
        <f>INDEX(รายการสาร!$B:$B,MATCH($B483,รายการสาร!$A:$A,0))</f>
        <v>trichloroacetic acid</v>
      </c>
      <c r="D483" s="2" t="str">
        <f>INDEX(รายการสาร!$C:$C,MATCH($B483,รายการสาร!$A:$A,0))</f>
        <v>trichloroacetic acid</v>
      </c>
      <c r="E483" s="2" t="s">
        <v>640</v>
      </c>
      <c r="F483" s="2" t="s">
        <v>641</v>
      </c>
      <c r="G483" s="3"/>
      <c r="H483" s="3"/>
      <c r="I483" s="3"/>
      <c r="J483" s="3"/>
      <c r="K483" s="3" t="s">
        <v>23</v>
      </c>
      <c r="L483" s="3"/>
      <c r="M483" s="3" t="s">
        <v>23</v>
      </c>
      <c r="N483" s="3"/>
      <c r="O483" s="3" t="s">
        <v>23</v>
      </c>
      <c r="P483" s="3"/>
      <c r="Q483" s="3" t="s">
        <v>23</v>
      </c>
      <c r="R483" s="3" t="s">
        <v>23</v>
      </c>
      <c r="S483" s="3"/>
      <c r="T483" s="3"/>
      <c r="U483" s="3"/>
      <c r="V483" s="3"/>
      <c r="W483" s="3"/>
    </row>
    <row r="484" spans="1:23" ht="41.4" customHeight="1" x14ac:dyDescent="0.25">
      <c r="A484" s="2" t="s">
        <v>38</v>
      </c>
      <c r="B484" s="3" t="s">
        <v>113</v>
      </c>
      <c r="C484" s="2" t="str">
        <f>INDEX(รายการสาร!$B:$B,MATCH($B484,รายการสาร!$A:$A,0))</f>
        <v>น้ำยาล้างจาน</v>
      </c>
      <c r="D484" s="2" t="str">
        <f>INDEX(รายการสาร!$C:$C,MATCH($B484,รายการสาร!$A:$A,0))</f>
        <v>ไลปอนเอฟ หรือ มาวิน หรือ ซันไลต์</v>
      </c>
      <c r="E484" s="2" t="s">
        <v>642</v>
      </c>
      <c r="F484" s="2" t="s">
        <v>210</v>
      </c>
      <c r="G484" s="3"/>
      <c r="H484" s="3"/>
      <c r="I484" s="3"/>
      <c r="J484" s="3"/>
      <c r="K484" s="3"/>
      <c r="L484" s="3"/>
      <c r="M484" s="3"/>
      <c r="N484" s="3"/>
      <c r="O484" s="3" t="s">
        <v>23</v>
      </c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2" t="s">
        <v>38</v>
      </c>
      <c r="B485" s="3" t="s">
        <v>20</v>
      </c>
      <c r="C485" s="2" t="str">
        <f>INDEX(รายการสาร!$B:$B,MATCH($B485,รายการสาร!$A:$A,0))</f>
        <v>คิมแคร์สบู่เหลวล้างมือ</v>
      </c>
      <c r="D485" s="2" t="str">
        <f>INDEX(รายการสาร!$C:$C,MATCH($B485,รายการสาร!$A:$A,0))</f>
        <v>Kimcare</v>
      </c>
      <c r="E485" s="2" t="s">
        <v>111</v>
      </c>
      <c r="F485" s="2" t="s">
        <v>210</v>
      </c>
      <c r="G485" s="3"/>
      <c r="H485" s="3"/>
      <c r="I485" s="3"/>
      <c r="J485" s="3"/>
      <c r="K485" s="3"/>
      <c r="L485" s="3"/>
      <c r="M485" s="3"/>
      <c r="N485" s="3"/>
      <c r="O485" s="3" t="s">
        <v>23</v>
      </c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2" t="s">
        <v>38</v>
      </c>
      <c r="B486" s="3" t="s">
        <v>40</v>
      </c>
      <c r="C486" s="2" t="str">
        <f>INDEX(รายการสาร!$B:$B,MATCH($B486,รายการสาร!$A:$A,0))</f>
        <v>Betadine</v>
      </c>
      <c r="D486" s="2" t="str">
        <f>INDEX(รายการสาร!$C:$C,MATCH($B486,รายการสาร!$A:$A,0))</f>
        <v>Betadine</v>
      </c>
      <c r="E486" s="2" t="s">
        <v>576</v>
      </c>
      <c r="F486" s="2" t="s">
        <v>122</v>
      </c>
      <c r="G486" s="3"/>
      <c r="H486" s="3"/>
      <c r="I486" s="3"/>
      <c r="J486" s="3"/>
      <c r="K486" s="3"/>
      <c r="L486" s="3"/>
      <c r="M486" s="3"/>
      <c r="N486" s="3"/>
      <c r="O486" s="3" t="s">
        <v>23</v>
      </c>
      <c r="P486" s="3"/>
      <c r="Q486" s="3"/>
      <c r="R486" s="3"/>
      <c r="S486" s="3"/>
      <c r="T486" s="3"/>
      <c r="U486" s="3"/>
      <c r="V486" s="3"/>
      <c r="W486" s="3"/>
    </row>
    <row r="487" spans="1:23" ht="27.6" customHeight="1" x14ac:dyDescent="0.25">
      <c r="A487" s="2" t="s">
        <v>38</v>
      </c>
      <c r="B487" s="3" t="s">
        <v>517</v>
      </c>
      <c r="C487" s="2" t="str">
        <f>INDEX(รายการสาร!$B:$B,MATCH($B487,รายการสาร!$A:$A,0))</f>
        <v>Ethy alcohol</v>
      </c>
      <c r="D487" s="2" t="str">
        <f>INDEX(รายการสาร!$C:$C,MATCH($B487,รายการสาร!$A:$A,0))</f>
        <v>Preservative solution 70%</v>
      </c>
      <c r="E487" s="2" t="s">
        <v>643</v>
      </c>
      <c r="F487" s="2" t="s">
        <v>122</v>
      </c>
      <c r="G487" s="3"/>
      <c r="H487" s="3" t="s">
        <v>23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 t="s">
        <v>23</v>
      </c>
    </row>
    <row r="488" spans="1:23" ht="27.6" customHeight="1" x14ac:dyDescent="0.25">
      <c r="A488" s="2" t="s">
        <v>38</v>
      </c>
      <c r="B488" s="3" t="s">
        <v>80</v>
      </c>
      <c r="C488" s="2" t="str">
        <f>INDEX(รายการสาร!$B:$B,MATCH($B488,รายการสาร!$A:$A,0))</f>
        <v>Hydrogen peroxide</v>
      </c>
      <c r="D488" s="2" t="str">
        <f>INDEX(รายการสาร!$C:$C,MATCH($B488,รายการสาร!$A:$A,0))</f>
        <v>Hydrogen peroxide</v>
      </c>
      <c r="E488" s="2" t="s">
        <v>310</v>
      </c>
      <c r="F488" s="2" t="s">
        <v>122</v>
      </c>
      <c r="G488" s="3"/>
      <c r="H488" s="3"/>
      <c r="I488" s="3" t="s">
        <v>23</v>
      </c>
      <c r="J488" s="3"/>
      <c r="K488" s="3" t="s">
        <v>23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2" t="s">
        <v>38</v>
      </c>
      <c r="B489" s="3" t="s">
        <v>30</v>
      </c>
      <c r="C489" s="2" t="str">
        <f>INDEX(รายการสาร!$B:$B,MATCH($B489,รายการสาร!$A:$A,0))</f>
        <v>Ammonia</v>
      </c>
      <c r="D489" s="2" t="str">
        <f>INDEX(รายการสาร!$C:$C,MATCH($B489,รายการสาร!$A:$A,0))</f>
        <v>Ammonia</v>
      </c>
      <c r="E489" s="2" t="s">
        <v>625</v>
      </c>
      <c r="F489" s="2" t="s">
        <v>122</v>
      </c>
      <c r="G489" s="3"/>
      <c r="H489" s="3"/>
      <c r="I489" s="3"/>
      <c r="J489" s="3" t="s">
        <v>23</v>
      </c>
      <c r="K489" s="3" t="s">
        <v>23</v>
      </c>
      <c r="L489" s="3"/>
      <c r="M489" s="3" t="s">
        <v>23</v>
      </c>
      <c r="N489" s="3"/>
      <c r="O489" s="3"/>
      <c r="P489" s="3"/>
      <c r="Q489" s="3" t="s">
        <v>23</v>
      </c>
      <c r="R489" s="3" t="s">
        <v>23</v>
      </c>
      <c r="S489" s="3"/>
      <c r="T489" s="3"/>
      <c r="U489" s="3"/>
      <c r="V489" s="3"/>
      <c r="W489" s="3"/>
    </row>
    <row r="490" spans="1:23" x14ac:dyDescent="0.25">
      <c r="A490" s="2" t="s">
        <v>38</v>
      </c>
      <c r="B490" s="3" t="s">
        <v>32</v>
      </c>
      <c r="C490" s="2" t="str">
        <f>INDEX(รายการสาร!$B:$B,MATCH($B490,รายการสาร!$A:$A,0))</f>
        <v>Gel ล้างมือติดผนัง</v>
      </c>
      <c r="D490" s="2" t="str">
        <f>INDEX(รายการสาร!$C:$C,MATCH($B490,รายการสาร!$A:$A,0))</f>
        <v>Purell</v>
      </c>
      <c r="E490" s="2" t="s">
        <v>128</v>
      </c>
      <c r="F490" s="2" t="s">
        <v>122</v>
      </c>
      <c r="G490" s="3"/>
      <c r="H490" s="3" t="s">
        <v>23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 t="s">
        <v>23</v>
      </c>
    </row>
    <row r="491" spans="1:23" x14ac:dyDescent="0.25">
      <c r="A491" s="2" t="s">
        <v>38</v>
      </c>
      <c r="B491" s="3" t="s">
        <v>644</v>
      </c>
      <c r="C491" s="2" t="str">
        <f>INDEX(รายการสาร!$B:$B,MATCH($B491,รายการสาร!$A:$A,0))</f>
        <v>CO2</v>
      </c>
      <c r="D491" s="2" t="str">
        <f>INDEX(รายการสาร!$C:$C,MATCH($B491,รายการสาร!$A:$A,0))</f>
        <v>CO2</v>
      </c>
      <c r="E491" s="2" t="s">
        <v>645</v>
      </c>
      <c r="F491" s="2" t="s">
        <v>122</v>
      </c>
      <c r="G491" s="3"/>
      <c r="H491" s="3"/>
      <c r="I491" s="3"/>
      <c r="J491" s="3"/>
      <c r="K491" s="3"/>
      <c r="L491" s="3" t="s">
        <v>23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7.6" x14ac:dyDescent="0.25">
      <c r="A492" s="2" t="s">
        <v>646</v>
      </c>
      <c r="B492" s="3" t="s">
        <v>45</v>
      </c>
      <c r="C492" s="2" t="str">
        <f>INDEX(รายการสาร!$B:$B,MATCH($B492,รายการสาร!$A:$A,0))</f>
        <v>Alcohol Pad</v>
      </c>
      <c r="D492" s="2" t="str">
        <f>INDEX(รายการสาร!$C:$C,MATCH($B492,รายการสาร!$A:$A,0))</f>
        <v>Neoplast</v>
      </c>
      <c r="E492" s="2" t="s">
        <v>258</v>
      </c>
      <c r="F492" s="2" t="s">
        <v>119</v>
      </c>
      <c r="G492" s="3"/>
      <c r="H492" s="3" t="s">
        <v>23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 t="s">
        <v>23</v>
      </c>
    </row>
    <row r="493" spans="1:23" ht="27.6" customHeight="1" x14ac:dyDescent="0.25">
      <c r="A493" s="2" t="s">
        <v>646</v>
      </c>
      <c r="B493" s="3" t="s">
        <v>647</v>
      </c>
      <c r="C493" s="2" t="str">
        <f>INDEX(รายการสาร!$B:$B,MATCH($B493,รายการสาร!$A:$A,0))</f>
        <v>pevidine solution</v>
      </c>
      <c r="D493" s="2" t="str">
        <f>INDEX(รายการสาร!$C:$C,MATCH($B493,รายการสาร!$A:$A,0))</f>
        <v>pevidine solution</v>
      </c>
      <c r="E493" s="2" t="s">
        <v>134</v>
      </c>
      <c r="F493" s="2" t="s">
        <v>119</v>
      </c>
      <c r="G493" s="3"/>
      <c r="H493" s="3"/>
      <c r="I493" s="3"/>
      <c r="J493" s="3"/>
      <c r="K493" s="3"/>
      <c r="L493" s="3"/>
      <c r="M493" s="3"/>
      <c r="N493" s="3"/>
      <c r="O493" s="3" t="s">
        <v>23</v>
      </c>
      <c r="P493" s="3"/>
      <c r="Q493" s="3" t="s">
        <v>23</v>
      </c>
      <c r="R493" s="3"/>
      <c r="S493" s="3"/>
      <c r="T493" s="3"/>
      <c r="U493" s="3"/>
      <c r="V493" s="3"/>
      <c r="W493" s="3"/>
    </row>
    <row r="494" spans="1:23" ht="27.6" x14ac:dyDescent="0.25">
      <c r="A494" s="2" t="s">
        <v>646</v>
      </c>
      <c r="B494" s="3" t="s">
        <v>35</v>
      </c>
      <c r="C494" s="2" t="str">
        <f>INDEX(รายการสาร!$B:$B,MATCH($B494,รายการสาร!$A:$A,0))</f>
        <v>Alcohol Gel</v>
      </c>
      <c r="D494" s="2" t="str">
        <f>INDEX(รายการสาร!$C:$C,MATCH($B494,รายการสาร!$A:$A,0))</f>
        <v>Clear Hand Gel</v>
      </c>
      <c r="E494" s="2" t="s">
        <v>648</v>
      </c>
      <c r="F494" s="2" t="s">
        <v>119</v>
      </c>
      <c r="G494" s="3"/>
      <c r="H494" s="3" t="s">
        <v>23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 t="s">
        <v>23</v>
      </c>
    </row>
    <row r="495" spans="1:23" ht="27.6" x14ac:dyDescent="0.25">
      <c r="A495" s="2" t="s">
        <v>646</v>
      </c>
      <c r="B495" s="3" t="s">
        <v>32</v>
      </c>
      <c r="C495" s="2" t="str">
        <f>INDEX(รายการสาร!$B:$B,MATCH($B495,รายการสาร!$A:$A,0))</f>
        <v>Gel ล้างมือติดผนัง</v>
      </c>
      <c r="D495" s="2" t="str">
        <f>INDEX(รายการสาร!$C:$C,MATCH($B495,รายการสาร!$A:$A,0))</f>
        <v>Purell</v>
      </c>
      <c r="E495" s="2" t="s">
        <v>128</v>
      </c>
      <c r="F495" s="2" t="s">
        <v>122</v>
      </c>
      <c r="G495" s="3"/>
      <c r="H495" s="3" t="s">
        <v>23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 t="s">
        <v>23</v>
      </c>
    </row>
    <row r="496" spans="1:23" ht="27.6" x14ac:dyDescent="0.25">
      <c r="A496" s="2" t="s">
        <v>646</v>
      </c>
      <c r="B496" s="3" t="s">
        <v>20</v>
      </c>
      <c r="C496" s="2" t="str">
        <f>INDEX(รายการสาร!$B:$B,MATCH($B496,รายการสาร!$A:$A,0))</f>
        <v>คิมแคร์สบู่เหลวล้างมือ</v>
      </c>
      <c r="D496" s="2" t="str">
        <f>INDEX(รายการสาร!$C:$C,MATCH($B496,รายการสาร!$A:$A,0))</f>
        <v>Kimcare</v>
      </c>
      <c r="E496" s="2" t="s">
        <v>111</v>
      </c>
      <c r="F496" s="2" t="s">
        <v>129</v>
      </c>
      <c r="G496" s="3"/>
      <c r="H496" s="3"/>
      <c r="I496" s="3"/>
      <c r="J496" s="3"/>
      <c r="K496" s="3"/>
      <c r="L496" s="3"/>
      <c r="M496" s="3"/>
      <c r="N496" s="3"/>
      <c r="O496" s="3" t="s">
        <v>23</v>
      </c>
      <c r="P496" s="3"/>
      <c r="Q496" s="3"/>
      <c r="R496" s="3"/>
      <c r="S496" s="3"/>
      <c r="T496" s="3"/>
      <c r="U496" s="3"/>
      <c r="V496" s="3"/>
      <c r="W496" s="3"/>
    </row>
    <row r="497" spans="1:23" ht="27.6" x14ac:dyDescent="0.25">
      <c r="A497" s="2" t="s">
        <v>646</v>
      </c>
      <c r="B497" s="3" t="s">
        <v>42</v>
      </c>
      <c r="C497" s="2" t="str">
        <f>INDEX(รายการสาร!$B:$B,MATCH($B497,รายการสาร!$A:$A,0))</f>
        <v>CHLORHEXIDINE SCRUB 4%</v>
      </c>
      <c r="D497" s="2" t="str">
        <f>INDEX(รายการสาร!$C:$C,MATCH($B497,รายการสาร!$A:$A,0))</f>
        <v>Hexene</v>
      </c>
      <c r="E497" s="2" t="s">
        <v>554</v>
      </c>
      <c r="F497" s="2" t="s">
        <v>122</v>
      </c>
      <c r="G497" s="3"/>
      <c r="H497" s="3"/>
      <c r="I497" s="3"/>
      <c r="J497" s="3"/>
      <c r="K497" s="3"/>
      <c r="L497" s="3"/>
      <c r="M497" s="3"/>
      <c r="N497" s="3"/>
      <c r="O497" s="3" t="s">
        <v>23</v>
      </c>
      <c r="P497" s="3"/>
      <c r="Q497" s="3"/>
      <c r="R497" s="3"/>
      <c r="S497" s="3"/>
      <c r="T497" s="3"/>
      <c r="U497" s="3"/>
      <c r="V497" s="3"/>
      <c r="W497" s="3"/>
    </row>
    <row r="498" spans="1:23" ht="27.6" customHeight="1" x14ac:dyDescent="0.25">
      <c r="A498" s="2" t="s">
        <v>646</v>
      </c>
      <c r="B498" s="3" t="s">
        <v>26</v>
      </c>
      <c r="C498" s="2" t="str">
        <f>INDEX(รายการสาร!$B:$B,MATCH($B498,รายการสาร!$A:$A,0))</f>
        <v>70% alcohol</v>
      </c>
      <c r="D498" s="2" t="str">
        <f>INDEX(รายการสาร!$C:$C,MATCH($B498,รายการสาร!$A:$A,0))</f>
        <v>Preservative solution 70%</v>
      </c>
      <c r="E498" s="2" t="s">
        <v>576</v>
      </c>
      <c r="F498" s="2" t="s">
        <v>122</v>
      </c>
      <c r="G498" s="3"/>
      <c r="H498" s="3" t="s">
        <v>23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 t="s">
        <v>23</v>
      </c>
    </row>
    <row r="499" spans="1:23" ht="27.6" customHeight="1" x14ac:dyDescent="0.25">
      <c r="A499" s="2" t="s">
        <v>649</v>
      </c>
      <c r="B499" s="3" t="s">
        <v>517</v>
      </c>
      <c r="C499" s="2" t="str">
        <f>INDEX(รายการสาร!$B:$B,MATCH($B499,รายการสาร!$A:$A,0))</f>
        <v>Ethy alcohol</v>
      </c>
      <c r="D499" s="2" t="str">
        <f>INDEX(รายการสาร!$C:$C,MATCH($B499,รายการสาร!$A:$A,0))</f>
        <v>Preservative solution 70%</v>
      </c>
      <c r="E499" s="2" t="s">
        <v>650</v>
      </c>
      <c r="F499" s="2" t="s">
        <v>565</v>
      </c>
      <c r="G499" s="3"/>
      <c r="H499" s="3" t="s">
        <v>23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 t="s">
        <v>23</v>
      </c>
    </row>
    <row r="500" spans="1:23" ht="41.4" customHeight="1" x14ac:dyDescent="0.25">
      <c r="A500" s="2" t="s">
        <v>649</v>
      </c>
      <c r="B500" s="3" t="s">
        <v>113</v>
      </c>
      <c r="C500" s="2" t="str">
        <f>INDEX(รายการสาร!$B:$B,MATCH($B500,รายการสาร!$A:$A,0))</f>
        <v>น้ำยาล้างจาน</v>
      </c>
      <c r="D500" s="2" t="str">
        <f>INDEX(รายการสาร!$C:$C,MATCH($B500,รายการสาร!$A:$A,0))</f>
        <v>ไลปอนเอฟ หรือ มาวิน หรือ ซันไลต์</v>
      </c>
      <c r="E500" s="2" t="s">
        <v>111</v>
      </c>
      <c r="F500" s="2" t="s">
        <v>567</v>
      </c>
      <c r="G500" s="3"/>
      <c r="H500" s="3"/>
      <c r="I500" s="3"/>
      <c r="J500" s="3"/>
      <c r="K500" s="3"/>
      <c r="L500" s="3"/>
      <c r="M500" s="3"/>
      <c r="N500" s="3"/>
      <c r="O500" s="3" t="s">
        <v>23</v>
      </c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2" t="s">
        <v>649</v>
      </c>
      <c r="B501" s="3" t="s">
        <v>20</v>
      </c>
      <c r="C501" s="2" t="str">
        <f>INDEX(รายการสาร!$B:$B,MATCH($B501,รายการสาร!$A:$A,0))</f>
        <v>คิมแคร์สบู่เหลวล้างมือ</v>
      </c>
      <c r="D501" s="2" t="str">
        <f>INDEX(รายการสาร!$C:$C,MATCH($B501,รายการสาร!$A:$A,0))</f>
        <v>Kimcare</v>
      </c>
      <c r="E501" s="2" t="s">
        <v>111</v>
      </c>
      <c r="F501" s="2" t="s">
        <v>567</v>
      </c>
      <c r="G501" s="3"/>
      <c r="H501" s="3"/>
      <c r="I501" s="3"/>
      <c r="J501" s="3"/>
      <c r="K501" s="3"/>
      <c r="L501" s="3"/>
      <c r="M501" s="3"/>
      <c r="N501" s="3"/>
      <c r="O501" s="3" t="s">
        <v>23</v>
      </c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2" t="s">
        <v>649</v>
      </c>
      <c r="B502" s="3" t="s">
        <v>651</v>
      </c>
      <c r="C502" s="2" t="str">
        <f>INDEX(รายการสาร!$B:$B,MATCH($B502,รายการสาร!$A:$A,0))</f>
        <v>Paraffin liquid</v>
      </c>
      <c r="D502" s="2" t="str">
        <f>INDEX(รายการสาร!$C:$C,MATCH($B502,รายการสาร!$A:$A,0))</f>
        <v>Paraffin</v>
      </c>
      <c r="E502" s="2" t="s">
        <v>609</v>
      </c>
      <c r="F502" s="2" t="s">
        <v>652</v>
      </c>
      <c r="G502" s="3"/>
      <c r="H502" s="3"/>
      <c r="I502" s="3"/>
      <c r="J502" s="3"/>
      <c r="K502" s="3"/>
      <c r="L502" s="3"/>
      <c r="M502" s="3"/>
      <c r="N502" s="3"/>
      <c r="O502" s="3" t="s">
        <v>23</v>
      </c>
      <c r="P502" s="3"/>
      <c r="Q502" s="3" t="s">
        <v>23</v>
      </c>
      <c r="R502" s="3"/>
      <c r="S502" s="3"/>
      <c r="T502" s="3"/>
      <c r="U502" s="3"/>
      <c r="V502" s="3"/>
      <c r="W502" s="3"/>
    </row>
    <row r="503" spans="1:23" x14ac:dyDescent="0.25">
      <c r="A503" s="2" t="s">
        <v>649</v>
      </c>
      <c r="B503" s="3" t="s">
        <v>32</v>
      </c>
      <c r="C503" s="2" t="str">
        <f>INDEX(รายการสาร!$B:$B,MATCH($B503,รายการสาร!$A:$A,0))</f>
        <v>Gel ล้างมือติดผนัง</v>
      </c>
      <c r="D503" s="2" t="str">
        <f>INDEX(รายการสาร!$C:$C,MATCH($B503,รายการสาร!$A:$A,0))</f>
        <v>Purell</v>
      </c>
      <c r="E503" s="2" t="s">
        <v>246</v>
      </c>
      <c r="F503" s="2" t="s">
        <v>122</v>
      </c>
      <c r="G503" s="3"/>
      <c r="H503" s="3" t="s">
        <v>23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 t="s">
        <v>23</v>
      </c>
    </row>
    <row r="504" spans="1:23" ht="27.6" customHeight="1" x14ac:dyDescent="0.25">
      <c r="A504" s="2" t="s">
        <v>649</v>
      </c>
      <c r="B504" s="3" t="s">
        <v>60</v>
      </c>
      <c r="C504" s="2" t="str">
        <f>INDEX(รายการสาร!$B:$B,MATCH($B504,รายการสาร!$A:$A,0))</f>
        <v>GER-MA-WAY Disinfectant</v>
      </c>
      <c r="D504" s="2" t="str">
        <f>INDEX(รายการสาร!$C:$C,MATCH($B504,รายการสาร!$A:$A,0))</f>
        <v>GER-MA-WAY Disinfectant</v>
      </c>
      <c r="E504" s="2" t="s">
        <v>365</v>
      </c>
      <c r="F504" s="2" t="s">
        <v>122</v>
      </c>
      <c r="G504" s="3"/>
      <c r="H504" s="3"/>
      <c r="I504" s="3"/>
      <c r="J504" s="3"/>
      <c r="K504" s="3"/>
      <c r="L504" s="3"/>
      <c r="M504" s="3"/>
      <c r="N504" s="3"/>
      <c r="O504" s="3" t="s">
        <v>23</v>
      </c>
      <c r="P504" s="3"/>
      <c r="Q504" s="3"/>
      <c r="R504" s="3"/>
      <c r="S504" s="3"/>
      <c r="T504" s="3"/>
      <c r="U504" s="3"/>
      <c r="V504" s="3"/>
      <c r="W504" s="3"/>
    </row>
    <row r="505" spans="1:23" ht="27.6" customHeight="1" x14ac:dyDescent="0.25">
      <c r="A505" s="2" t="s">
        <v>649</v>
      </c>
      <c r="B505" s="3" t="s">
        <v>653</v>
      </c>
      <c r="C505" s="2" t="str">
        <f>INDEX(รายการสาร!$B:$B,MATCH($B505,รายการสาร!$A:$A,0))</f>
        <v>Alcohol Pad</v>
      </c>
      <c r="D505" s="2" t="str">
        <f>INDEX(รายการสาร!$C:$C,MATCH($B505,รายการสาร!$A:$A,0))</f>
        <v>Neoplast หรือ 3M</v>
      </c>
      <c r="E505" s="2" t="s">
        <v>275</v>
      </c>
      <c r="F505" s="2" t="s">
        <v>122</v>
      </c>
      <c r="G505" s="3"/>
      <c r="H505" s="3" t="s">
        <v>23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 t="s">
        <v>23</v>
      </c>
    </row>
    <row r="506" spans="1:23" x14ac:dyDescent="0.25">
      <c r="A506" s="2" t="s">
        <v>649</v>
      </c>
      <c r="B506" s="3" t="s">
        <v>35</v>
      </c>
      <c r="C506" s="2" t="str">
        <f>INDEX(รายการสาร!$B:$B,MATCH($B506,รายการสาร!$A:$A,0))</f>
        <v>Alcohol Gel</v>
      </c>
      <c r="D506" s="2" t="str">
        <f>INDEX(รายการสาร!$C:$C,MATCH($B506,รายการสาร!$A:$A,0))</f>
        <v>Clear Hand Gel</v>
      </c>
      <c r="E506" s="2" t="s">
        <v>654</v>
      </c>
      <c r="F506" s="2" t="s">
        <v>122</v>
      </c>
      <c r="G506" s="3"/>
      <c r="H506" s="3" t="s">
        <v>23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 t="s">
        <v>23</v>
      </c>
    </row>
    <row r="507" spans="1:23" ht="27.6" customHeight="1" x14ac:dyDescent="0.25">
      <c r="A507" s="2" t="s">
        <v>655</v>
      </c>
      <c r="B507" s="3" t="s">
        <v>656</v>
      </c>
      <c r="C507" s="2" t="str">
        <f>INDEX(รายการสาร!$B:$B,MATCH($B507,รายการสาร!$A:$A,0))</f>
        <v>70% Ethy alcohol</v>
      </c>
      <c r="D507" s="2" t="str">
        <f>INDEX(รายการสาร!$C:$C,MATCH($B507,รายการสาร!$A:$A,0))</f>
        <v>Preservative solution 70%</v>
      </c>
      <c r="E507" s="2" t="s">
        <v>564</v>
      </c>
      <c r="F507" s="2" t="s">
        <v>119</v>
      </c>
      <c r="G507" s="3"/>
      <c r="H507" s="3" t="s">
        <v>23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 t="s">
        <v>23</v>
      </c>
    </row>
    <row r="508" spans="1:23" ht="27.6" customHeight="1" x14ac:dyDescent="0.25">
      <c r="A508" s="2" t="s">
        <v>655</v>
      </c>
      <c r="B508" s="3" t="s">
        <v>656</v>
      </c>
      <c r="C508" s="2" t="str">
        <f>INDEX(รายการสาร!$B:$B,MATCH($B508,รายการสาร!$A:$A,0))</f>
        <v>70% Ethy alcohol</v>
      </c>
      <c r="D508" s="2" t="str">
        <f>INDEX(รายการสาร!$C:$C,MATCH($B508,รายการสาร!$A:$A,0))</f>
        <v>Preservative solution 70%</v>
      </c>
      <c r="E508" s="2" t="s">
        <v>657</v>
      </c>
      <c r="F508" s="2" t="s">
        <v>119</v>
      </c>
      <c r="G508" s="3"/>
      <c r="H508" s="3" t="s">
        <v>23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 t="s">
        <v>23</v>
      </c>
    </row>
    <row r="509" spans="1:23" ht="27.6" customHeight="1" x14ac:dyDescent="0.25">
      <c r="A509" s="2" t="s">
        <v>655</v>
      </c>
      <c r="B509" s="3" t="s">
        <v>658</v>
      </c>
      <c r="C509" s="2" t="str">
        <f>INDEX(รายการสาร!$B:$B,MATCH($B509,รายการสาร!$A:$A,0))</f>
        <v>95% Ethy alcohol</v>
      </c>
      <c r="D509" s="2" t="str">
        <f>INDEX(รายการสาร!$C:$C,MATCH($B509,รายการสาร!$A:$A,0))</f>
        <v>Preservative solution 95%</v>
      </c>
      <c r="E509" s="2" t="s">
        <v>659</v>
      </c>
      <c r="F509" s="2" t="s">
        <v>119</v>
      </c>
      <c r="G509" s="3"/>
      <c r="H509" s="3" t="s">
        <v>23</v>
      </c>
      <c r="I509" s="3"/>
      <c r="J509" s="3"/>
      <c r="K509" s="3"/>
      <c r="L509" s="3"/>
      <c r="M509" s="3"/>
      <c r="N509" s="3"/>
      <c r="O509" s="3"/>
      <c r="P509" s="3"/>
      <c r="Q509" s="3" t="s">
        <v>23</v>
      </c>
      <c r="R509" s="3" t="s">
        <v>23</v>
      </c>
      <c r="S509" s="3"/>
      <c r="T509" s="3"/>
      <c r="U509" s="3"/>
      <c r="V509" s="3"/>
      <c r="W509" s="3" t="s">
        <v>23</v>
      </c>
    </row>
    <row r="510" spans="1:23" x14ac:dyDescent="0.25">
      <c r="A510" s="2" t="s">
        <v>655</v>
      </c>
      <c r="B510" s="3" t="s">
        <v>276</v>
      </c>
      <c r="C510" s="2" t="str">
        <f>INDEX(รายการสาร!$B:$B,MATCH($B510,รายการสาร!$A:$A,0))</f>
        <v>Alcohol Gel</v>
      </c>
      <c r="D510" s="2" t="str">
        <f>INDEX(รายการสาร!$C:$C,MATCH($B510,รายการสาร!$A:$A,0))</f>
        <v>Clean hand Gel</v>
      </c>
      <c r="E510" s="2" t="s">
        <v>297</v>
      </c>
      <c r="F510" s="2" t="s">
        <v>119</v>
      </c>
      <c r="G510" s="3"/>
      <c r="H510" s="3" t="s">
        <v>23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 t="s">
        <v>23</v>
      </c>
    </row>
    <row r="511" spans="1:23" x14ac:dyDescent="0.25">
      <c r="A511" s="2" t="s">
        <v>655</v>
      </c>
      <c r="B511" s="3" t="s">
        <v>45</v>
      </c>
      <c r="C511" s="2" t="str">
        <f>INDEX(รายการสาร!$B:$B,MATCH($B511,รายการสาร!$A:$A,0))</f>
        <v>Alcohol Pad</v>
      </c>
      <c r="D511" s="2" t="str">
        <f>INDEX(รายการสาร!$C:$C,MATCH($B511,รายการสาร!$A:$A,0))</f>
        <v>Neoplast</v>
      </c>
      <c r="E511" s="2" t="s">
        <v>258</v>
      </c>
      <c r="F511" s="2" t="s">
        <v>119</v>
      </c>
      <c r="G511" s="3"/>
      <c r="H511" s="3" t="s">
        <v>23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 t="s">
        <v>23</v>
      </c>
    </row>
    <row r="512" spans="1:23" x14ac:dyDescent="0.25">
      <c r="A512" s="2" t="s">
        <v>655</v>
      </c>
      <c r="B512" s="3" t="s">
        <v>30</v>
      </c>
      <c r="C512" s="2" t="str">
        <f>INDEX(รายการสาร!$B:$B,MATCH($B512,รายการสาร!$A:$A,0))</f>
        <v>Ammonia</v>
      </c>
      <c r="D512" s="2" t="str">
        <f>INDEX(รายการสาร!$C:$C,MATCH($B512,รายการสาร!$A:$A,0))</f>
        <v>Ammonia</v>
      </c>
      <c r="E512" s="2" t="s">
        <v>227</v>
      </c>
      <c r="F512" s="2" t="s">
        <v>119</v>
      </c>
      <c r="G512" s="3"/>
      <c r="H512" s="3"/>
      <c r="I512" s="3"/>
      <c r="J512" s="3" t="s">
        <v>23</v>
      </c>
      <c r="K512" s="3" t="s">
        <v>23</v>
      </c>
      <c r="L512" s="3"/>
      <c r="M512" s="3" t="s">
        <v>23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2" t="s">
        <v>655</v>
      </c>
      <c r="B513" s="3" t="s">
        <v>40</v>
      </c>
      <c r="C513" s="2" t="str">
        <f>INDEX(รายการสาร!$B:$B,MATCH($B513,รายการสาร!$A:$A,0))</f>
        <v>Betadine</v>
      </c>
      <c r="D513" s="2" t="str">
        <f>INDEX(รายการสาร!$C:$C,MATCH($B513,รายการสาร!$A:$A,0))</f>
        <v>Betadine</v>
      </c>
      <c r="E513" s="2" t="s">
        <v>660</v>
      </c>
      <c r="F513" s="2" t="s">
        <v>119</v>
      </c>
      <c r="G513" s="3"/>
      <c r="H513" s="3"/>
      <c r="I513" s="3"/>
      <c r="J513" s="3"/>
      <c r="K513" s="3"/>
      <c r="L513" s="3"/>
      <c r="M513" s="3"/>
      <c r="N513" s="3"/>
      <c r="O513" s="3" t="s">
        <v>23</v>
      </c>
      <c r="P513" s="3"/>
      <c r="Q513" s="3" t="s">
        <v>23</v>
      </c>
      <c r="R513" s="3"/>
      <c r="S513" s="3"/>
      <c r="T513" s="3"/>
      <c r="U513" s="3"/>
      <c r="V513" s="3"/>
      <c r="W513" s="3"/>
    </row>
    <row r="514" spans="1:23" ht="41.4" customHeight="1" x14ac:dyDescent="0.25">
      <c r="A514" s="2" t="s">
        <v>655</v>
      </c>
      <c r="B514" s="3" t="s">
        <v>661</v>
      </c>
      <c r="C514" s="2" t="str">
        <f>INDEX(รายการสาร!$B:$B,MATCH($B514,รายการสาร!$A:$A,0))</f>
        <v>chlorhexidine gluconate</v>
      </c>
      <c r="D514" s="2" t="str">
        <f>INDEX(รายการสาร!$C:$C,MATCH($B514,รายการสาร!$A:$A,0))</f>
        <v>Hexene (4 % Chlorhexidine solution) 500 ml</v>
      </c>
      <c r="E514" s="2" t="s">
        <v>229</v>
      </c>
      <c r="F514" s="2" t="s">
        <v>119</v>
      </c>
      <c r="G514" s="3"/>
      <c r="H514" s="3"/>
      <c r="I514" s="3"/>
      <c r="J514" s="3"/>
      <c r="K514" s="3"/>
      <c r="L514" s="3"/>
      <c r="M514" s="3"/>
      <c r="N514" s="3"/>
      <c r="O514" s="3" t="s">
        <v>23</v>
      </c>
      <c r="P514" s="3"/>
      <c r="Q514" s="3" t="s">
        <v>23</v>
      </c>
      <c r="R514" s="3"/>
      <c r="S514" s="3"/>
      <c r="T514" s="3"/>
      <c r="U514" s="3"/>
      <c r="V514" s="3"/>
      <c r="W514" s="3"/>
    </row>
    <row r="515" spans="1:23" ht="55.2" customHeight="1" x14ac:dyDescent="0.25">
      <c r="A515" s="2" t="s">
        <v>655</v>
      </c>
      <c r="B515" s="3" t="s">
        <v>594</v>
      </c>
      <c r="C515" s="2" t="str">
        <f>INDEX(รายการสาร!$B:$B,MATCH($B515,รายการสาร!$A:$A,0))</f>
        <v>0.05 % chlorhexidine in water (Hibitane 1:100)</v>
      </c>
      <c r="D515" s="2" t="str">
        <f>INDEX(รายการสาร!$C:$C,MATCH($B515,รายการสาร!$A:$A,0))</f>
        <v>0.05 % chlorhexidine in water (Hibitane 1:100)</v>
      </c>
      <c r="E515" s="2" t="s">
        <v>662</v>
      </c>
      <c r="F515" s="2" t="s">
        <v>119</v>
      </c>
      <c r="G515" s="3"/>
      <c r="H515" s="3"/>
      <c r="I515" s="3"/>
      <c r="J515" s="3"/>
      <c r="K515" s="3"/>
      <c r="L515" s="3"/>
      <c r="M515" s="3"/>
      <c r="N515" s="3"/>
      <c r="O515" s="3" t="s">
        <v>23</v>
      </c>
      <c r="P515" s="3"/>
      <c r="Q515" s="3" t="s">
        <v>23</v>
      </c>
      <c r="R515" s="3"/>
      <c r="S515" s="3"/>
      <c r="T515" s="3"/>
      <c r="U515" s="3"/>
      <c r="V515" s="3"/>
      <c r="W515" s="3"/>
    </row>
    <row r="516" spans="1:23" ht="41.4" customHeight="1" x14ac:dyDescent="0.25">
      <c r="A516" s="2" t="s">
        <v>655</v>
      </c>
      <c r="B516" s="3" t="s">
        <v>113</v>
      </c>
      <c r="C516" s="2" t="str">
        <f>INDEX(รายการสาร!$B:$B,MATCH($B516,รายการสาร!$A:$A,0))</f>
        <v>น้ำยาล้างจาน</v>
      </c>
      <c r="D516" s="2" t="str">
        <f>INDEX(รายการสาร!$C:$C,MATCH($B516,รายการสาร!$A:$A,0))</f>
        <v>ไลปอนเอฟ หรือ มาวิน หรือ ซันไลต์</v>
      </c>
      <c r="E516" s="2" t="s">
        <v>111</v>
      </c>
      <c r="F516" s="2" t="s">
        <v>119</v>
      </c>
      <c r="G516" s="3"/>
      <c r="H516" s="3"/>
      <c r="I516" s="3"/>
      <c r="J516" s="3"/>
      <c r="K516" s="3"/>
      <c r="L516" s="3"/>
      <c r="M516" s="3"/>
      <c r="N516" s="3"/>
      <c r="O516" s="3" t="s">
        <v>23</v>
      </c>
      <c r="P516" s="3"/>
      <c r="Q516" s="3"/>
      <c r="R516" s="3"/>
      <c r="S516" s="3"/>
      <c r="T516" s="3"/>
      <c r="U516" s="3"/>
      <c r="V516" s="3"/>
      <c r="W516" s="3"/>
    </row>
    <row r="517" spans="1:23" ht="27.6" customHeight="1" x14ac:dyDescent="0.25">
      <c r="A517" s="2" t="s">
        <v>655</v>
      </c>
      <c r="B517" s="3" t="s">
        <v>180</v>
      </c>
      <c r="C517" s="2" t="str">
        <f>INDEX(รายการสาร!$B:$B,MATCH($B517,รายการสาร!$A:$A,0))</f>
        <v>Gel ล้างมือติดผนัง</v>
      </c>
      <c r="D517" s="2" t="str">
        <f>INDEX(รายการสาร!$C:$C,MATCH($B517,รายการสาร!$A:$A,0))</f>
        <v>Purell (Hand Sanitizer)</v>
      </c>
      <c r="E517" s="2" t="s">
        <v>128</v>
      </c>
      <c r="F517" s="2" t="s">
        <v>117</v>
      </c>
      <c r="G517" s="3"/>
      <c r="H517" s="3" t="s">
        <v>23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 t="s">
        <v>23</v>
      </c>
    </row>
    <row r="518" spans="1:23" ht="27.6" customHeight="1" x14ac:dyDescent="0.25">
      <c r="A518" s="2" t="s">
        <v>655</v>
      </c>
      <c r="B518" s="3" t="s">
        <v>663</v>
      </c>
      <c r="C518" s="2" t="str">
        <f>INDEX(รายการสาร!$B:$B,MATCH($B518,รายการสาร!$A:$A,0))</f>
        <v>MP Ultrasound gel</v>
      </c>
      <c r="D518" s="2" t="str">
        <f>INDEX(รายการสาร!$C:$C,MATCH($B518,รายการสาร!$A:$A,0))</f>
        <v>MP Ultrasound gel</v>
      </c>
      <c r="E518" s="2" t="s">
        <v>664</v>
      </c>
      <c r="F518" s="2" t="s">
        <v>119</v>
      </c>
      <c r="G518" s="3"/>
      <c r="H518" s="3"/>
      <c r="I518" s="3"/>
      <c r="J518" s="3"/>
      <c r="K518" s="3"/>
      <c r="L518" s="3"/>
      <c r="M518" s="3"/>
      <c r="N518" s="3"/>
      <c r="O518" s="3" t="s">
        <v>23</v>
      </c>
      <c r="P518" s="3"/>
      <c r="Q518" s="3"/>
      <c r="R518" s="3"/>
      <c r="S518" s="3"/>
      <c r="T518" s="3"/>
      <c r="U518" s="3"/>
      <c r="V518" s="3"/>
      <c r="W518" s="3"/>
    </row>
    <row r="519" spans="1:23" ht="27.6" customHeight="1" x14ac:dyDescent="0.25">
      <c r="A519" s="2" t="s">
        <v>655</v>
      </c>
      <c r="B519" s="3" t="s">
        <v>60</v>
      </c>
      <c r="C519" s="2" t="str">
        <f>INDEX(รายการสาร!$B:$B,MATCH($B519,รายการสาร!$A:$A,0))</f>
        <v>GER-MA-WAY Disinfectant</v>
      </c>
      <c r="D519" s="2" t="str">
        <f>INDEX(รายการสาร!$C:$C,MATCH($B519,รายการสาร!$A:$A,0))</f>
        <v>GER-MA-WAY Disinfectant</v>
      </c>
      <c r="E519" s="2" t="s">
        <v>559</v>
      </c>
      <c r="F519" s="2" t="s">
        <v>119</v>
      </c>
      <c r="G519" s="3"/>
      <c r="H519" s="3"/>
      <c r="I519" s="3"/>
      <c r="J519" s="3"/>
      <c r="K519" s="3"/>
      <c r="L519" s="3"/>
      <c r="M519" s="3"/>
      <c r="N519" s="3"/>
      <c r="O519" s="3" t="s">
        <v>23</v>
      </c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2" t="s">
        <v>655</v>
      </c>
      <c r="B520" s="3" t="s">
        <v>73</v>
      </c>
      <c r="C520" s="2" t="str">
        <f>INDEX(รายการสาร!$B:$B,MATCH($B520,รายการสาร!$A:$A,0))</f>
        <v>chlorhexidine 2% in 70% alcohol</v>
      </c>
      <c r="D520" s="2" t="str">
        <f>INDEX(รายการสาร!$C:$C,MATCH($B520,รายการสาร!$A:$A,0))</f>
        <v>Prepskin-C</v>
      </c>
      <c r="E520" s="2" t="s">
        <v>243</v>
      </c>
      <c r="F520" s="2" t="s">
        <v>119</v>
      </c>
      <c r="G520" s="3"/>
      <c r="H520" s="3" t="s">
        <v>23</v>
      </c>
      <c r="I520" s="3"/>
      <c r="J520" s="3"/>
      <c r="K520" s="3"/>
      <c r="L520" s="3"/>
      <c r="M520" s="3"/>
      <c r="N520" s="3"/>
      <c r="O520" s="3" t="s">
        <v>23</v>
      </c>
      <c r="P520" s="3"/>
      <c r="Q520" s="3" t="s">
        <v>23</v>
      </c>
      <c r="R520" s="3"/>
      <c r="S520" s="3"/>
      <c r="T520" s="3"/>
      <c r="U520" s="3"/>
      <c r="V520" s="3"/>
      <c r="W520" s="3" t="s">
        <v>23</v>
      </c>
    </row>
    <row r="521" spans="1:23" ht="27.6" customHeight="1" x14ac:dyDescent="0.25">
      <c r="A521" s="2" t="s">
        <v>655</v>
      </c>
      <c r="B521" s="3" t="s">
        <v>529</v>
      </c>
      <c r="C521" s="2" t="str">
        <f>INDEX(รายการสาร!$B:$B,MATCH($B521,รายการสาร!$A:$A,0))</f>
        <v>ทิชชู่เปียก</v>
      </c>
      <c r="D521" s="2" t="str">
        <f>INDEX(รายการสาร!$C:$C,MATCH($B521,รายการสาร!$A:$A,0))</f>
        <v>Pigeon baby wipes</v>
      </c>
      <c r="E521" s="2"/>
      <c r="F521" s="2" t="s">
        <v>122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5">
      <c r="A522" s="2" t="s">
        <v>665</v>
      </c>
      <c r="B522" s="3" t="s">
        <v>20</v>
      </c>
      <c r="C522" s="2" t="str">
        <f>INDEX(รายการสาร!$B:$B,MATCH($B522,รายการสาร!$A:$A,0))</f>
        <v>คิมแคร์สบู่เหลวล้างมือ</v>
      </c>
      <c r="D522" s="2" t="str">
        <f>INDEX(รายการสาร!$C:$C,MATCH($B522,รายการสาร!$A:$A,0))</f>
        <v>Kimcare</v>
      </c>
      <c r="E522" s="2" t="s">
        <v>111</v>
      </c>
      <c r="F522" s="2" t="s">
        <v>607</v>
      </c>
      <c r="G522" s="3"/>
      <c r="H522" s="3"/>
      <c r="I522" s="3"/>
      <c r="J522" s="3"/>
      <c r="K522" s="3"/>
      <c r="L522" s="3"/>
      <c r="M522" s="3"/>
      <c r="N522" s="3"/>
      <c r="O522" s="3" t="s">
        <v>23</v>
      </c>
      <c r="P522" s="3"/>
      <c r="Q522" s="3"/>
      <c r="R522" s="3"/>
      <c r="S522" s="3"/>
      <c r="T522" s="3"/>
      <c r="U522" s="3"/>
      <c r="V522" s="3"/>
      <c r="W522" s="3"/>
    </row>
    <row r="523" spans="1:23" ht="41.4" customHeight="1" x14ac:dyDescent="0.25">
      <c r="A523" s="2" t="s">
        <v>665</v>
      </c>
      <c r="B523" s="3" t="s">
        <v>113</v>
      </c>
      <c r="C523" s="2" t="str">
        <f>INDEX(รายการสาร!$B:$B,MATCH($B523,รายการสาร!$A:$A,0))</f>
        <v>น้ำยาล้างจาน</v>
      </c>
      <c r="D523" s="2" t="str">
        <f>INDEX(รายการสาร!$C:$C,MATCH($B523,รายการสาร!$A:$A,0))</f>
        <v>ไลปอนเอฟ หรือ มาวิน หรือ ซันไลต์</v>
      </c>
      <c r="E523" s="2" t="s">
        <v>111</v>
      </c>
      <c r="F523" s="2" t="s">
        <v>363</v>
      </c>
      <c r="G523" s="3"/>
      <c r="H523" s="3"/>
      <c r="I523" s="3"/>
      <c r="J523" s="3"/>
      <c r="K523" s="3"/>
      <c r="L523" s="3"/>
      <c r="M523" s="3"/>
      <c r="N523" s="3"/>
      <c r="O523" s="3" t="s">
        <v>23</v>
      </c>
      <c r="P523" s="3"/>
      <c r="Q523" s="3"/>
      <c r="R523" s="3"/>
      <c r="S523" s="3"/>
      <c r="T523" s="3"/>
      <c r="U523" s="3"/>
      <c r="V523" s="3"/>
      <c r="W523" s="3"/>
    </row>
    <row r="524" spans="1:23" ht="41.4" customHeight="1" x14ac:dyDescent="0.25">
      <c r="A524" s="2" t="s">
        <v>666</v>
      </c>
      <c r="B524" s="3" t="s">
        <v>113</v>
      </c>
      <c r="C524" s="2" t="str">
        <f>INDEX(รายการสาร!$B:$B,MATCH($B524,รายการสาร!$A:$A,0))</f>
        <v>น้ำยาล้างจาน</v>
      </c>
      <c r="D524" s="2" t="str">
        <f>INDEX(รายการสาร!$C:$C,MATCH($B524,รายการสาร!$A:$A,0))</f>
        <v>ไลปอนเอฟ หรือ มาวิน หรือ ซันไลต์</v>
      </c>
      <c r="E524" s="2" t="s">
        <v>667</v>
      </c>
      <c r="F524" s="2" t="s">
        <v>103</v>
      </c>
      <c r="G524" s="3"/>
      <c r="H524" s="3"/>
      <c r="I524" s="3"/>
      <c r="J524" s="3"/>
      <c r="K524" s="3"/>
      <c r="L524" s="3"/>
      <c r="M524" s="3"/>
      <c r="N524" s="3"/>
      <c r="O524" s="3" t="s">
        <v>23</v>
      </c>
      <c r="P524" s="3"/>
      <c r="Q524" s="3"/>
      <c r="R524" s="3"/>
      <c r="S524" s="3"/>
      <c r="T524" s="3"/>
      <c r="U524" s="3"/>
      <c r="V524" s="3"/>
      <c r="W524" s="3"/>
    </row>
    <row r="525" spans="1:23" ht="41.4" customHeight="1" x14ac:dyDescent="0.25">
      <c r="A525" s="2" t="s">
        <v>668</v>
      </c>
      <c r="B525" s="3" t="s">
        <v>113</v>
      </c>
      <c r="C525" s="2" t="str">
        <f>INDEX(รายการสาร!$B:$B,MATCH($B525,รายการสาร!$A:$A,0))</f>
        <v>น้ำยาล้างจาน</v>
      </c>
      <c r="D525" s="2" t="str">
        <f>INDEX(รายการสาร!$C:$C,MATCH($B525,รายการสาร!$A:$A,0))</f>
        <v>ไลปอนเอฟ หรือ มาวิน หรือ ซันไลต์</v>
      </c>
      <c r="E525" s="2" t="s">
        <v>509</v>
      </c>
      <c r="F525" s="2" t="s">
        <v>103</v>
      </c>
      <c r="G525" s="3"/>
      <c r="H525" s="3"/>
      <c r="I525" s="3"/>
      <c r="J525" s="3"/>
      <c r="K525" s="3"/>
      <c r="L525" s="3"/>
      <c r="M525" s="3"/>
      <c r="N525" s="3"/>
      <c r="O525" s="3" t="s">
        <v>23</v>
      </c>
      <c r="P525" s="3"/>
      <c r="Q525" s="3"/>
      <c r="R525" s="3"/>
      <c r="S525" s="3"/>
      <c r="T525" s="3"/>
      <c r="U525" s="3"/>
      <c r="V525" s="3"/>
      <c r="W525" s="3"/>
    </row>
    <row r="526" spans="1:23" x14ac:dyDescent="0.25">
      <c r="A526" s="2" t="s">
        <v>668</v>
      </c>
      <c r="B526" s="3" t="s">
        <v>669</v>
      </c>
      <c r="C526" s="2" t="str">
        <f>INDEX(รายการสาร!$B:$B,MATCH($B526,รายการสาร!$A:$A,0))</f>
        <v>แชมพูล้างรถ</v>
      </c>
      <c r="D526" s="2" t="str">
        <f>INDEX(รายการสาร!$C:$C,MATCH($B526,รายการสาร!$A:$A,0))</f>
        <v>Karshine</v>
      </c>
      <c r="E526" s="2" t="s">
        <v>670</v>
      </c>
      <c r="F526" s="2" t="s">
        <v>103</v>
      </c>
      <c r="G526" s="3"/>
      <c r="H526" s="3"/>
      <c r="I526" s="3"/>
      <c r="J526" s="3"/>
      <c r="K526" s="3"/>
      <c r="L526" s="3"/>
      <c r="M526" s="3"/>
      <c r="N526" s="3"/>
      <c r="O526" s="3" t="s">
        <v>23</v>
      </c>
      <c r="P526" s="3"/>
      <c r="Q526" s="3"/>
      <c r="R526" s="3"/>
      <c r="S526" s="3"/>
      <c r="T526" s="3"/>
      <c r="U526" s="3"/>
      <c r="V526" s="3"/>
      <c r="W526" s="3"/>
    </row>
    <row r="527" spans="1:23" ht="41.4" customHeight="1" x14ac:dyDescent="0.25">
      <c r="A527" s="2" t="s">
        <v>671</v>
      </c>
      <c r="B527" s="3" t="s">
        <v>113</v>
      </c>
      <c r="C527" s="2" t="str">
        <f>INDEX(รายการสาร!$B:$B,MATCH($B527,รายการสาร!$A:$A,0))</f>
        <v>น้ำยาล้างจาน</v>
      </c>
      <c r="D527" s="2" t="str">
        <f>INDEX(รายการสาร!$C:$C,MATCH($B527,รายการสาร!$A:$A,0))</f>
        <v>ไลปอนเอฟ หรือ มาวิน หรือ ซันไลต์</v>
      </c>
      <c r="E527" s="2" t="s">
        <v>509</v>
      </c>
      <c r="F527" s="2" t="s">
        <v>103</v>
      </c>
      <c r="G527" s="3"/>
      <c r="H527" s="3"/>
      <c r="I527" s="3"/>
      <c r="J527" s="3"/>
      <c r="K527" s="3"/>
      <c r="L527" s="3"/>
      <c r="M527" s="3"/>
      <c r="N527" s="3"/>
      <c r="O527" s="3" t="s">
        <v>23</v>
      </c>
      <c r="P527" s="3"/>
      <c r="Q527" s="3"/>
      <c r="R527" s="3"/>
      <c r="S527" s="3"/>
      <c r="T527" s="3"/>
      <c r="U527" s="3"/>
      <c r="V527" s="3"/>
      <c r="W527" s="3"/>
    </row>
    <row r="528" spans="1:23" ht="41.4" customHeight="1" x14ac:dyDescent="0.25">
      <c r="A528" s="2" t="s">
        <v>672</v>
      </c>
      <c r="B528" s="3" t="s">
        <v>113</v>
      </c>
      <c r="C528" s="2" t="str">
        <f>INDEX(รายการสาร!$B:$B,MATCH($B528,รายการสาร!$A:$A,0))</f>
        <v>น้ำยาล้างจาน</v>
      </c>
      <c r="D528" s="2" t="str">
        <f>INDEX(รายการสาร!$C:$C,MATCH($B528,รายการสาร!$A:$A,0))</f>
        <v>ไลปอนเอฟ หรือ มาวิน หรือ ซันไลต์</v>
      </c>
      <c r="E528" s="2" t="s">
        <v>509</v>
      </c>
      <c r="F528" s="2" t="s">
        <v>103</v>
      </c>
      <c r="G528" s="3"/>
      <c r="H528" s="3"/>
      <c r="I528" s="3"/>
      <c r="J528" s="3"/>
      <c r="K528" s="3"/>
      <c r="L528" s="3"/>
      <c r="M528" s="3"/>
      <c r="N528" s="3"/>
      <c r="O528" s="3" t="s">
        <v>23</v>
      </c>
      <c r="P528" s="3"/>
      <c r="Q528" s="3"/>
      <c r="R528" s="3"/>
      <c r="S528" s="3"/>
      <c r="T528" s="3"/>
      <c r="U528" s="3"/>
      <c r="V528" s="3"/>
      <c r="W528" s="3"/>
    </row>
    <row r="529" spans="1:23" ht="41.4" customHeight="1" x14ac:dyDescent="0.25">
      <c r="A529" s="2" t="s">
        <v>673</v>
      </c>
      <c r="B529" s="3" t="s">
        <v>113</v>
      </c>
      <c r="C529" s="2" t="str">
        <f>INDEX(รายการสาร!$B:$B,MATCH($B529,รายการสาร!$A:$A,0))</f>
        <v>น้ำยาล้างจาน</v>
      </c>
      <c r="D529" s="2" t="str">
        <f>INDEX(รายการสาร!$C:$C,MATCH($B529,รายการสาร!$A:$A,0))</f>
        <v>ไลปอนเอฟ หรือ มาวิน หรือ ซันไลต์</v>
      </c>
      <c r="E529" s="2" t="s">
        <v>509</v>
      </c>
      <c r="F529" s="2" t="s">
        <v>103</v>
      </c>
      <c r="G529" s="3"/>
      <c r="H529" s="3"/>
      <c r="I529" s="3"/>
      <c r="J529" s="3"/>
      <c r="K529" s="3"/>
      <c r="L529" s="3"/>
      <c r="M529" s="3"/>
      <c r="N529" s="3"/>
      <c r="O529" s="3" t="s">
        <v>23</v>
      </c>
      <c r="P529" s="3"/>
      <c r="Q529" s="3"/>
      <c r="R529" s="3"/>
      <c r="S529" s="3"/>
      <c r="T529" s="3"/>
      <c r="U529" s="3"/>
      <c r="V529" s="3"/>
      <c r="W529" s="3"/>
    </row>
    <row r="530" spans="1:23" ht="27.6" customHeight="1" x14ac:dyDescent="0.25">
      <c r="A530" s="2" t="s">
        <v>673</v>
      </c>
      <c r="B530" s="3" t="s">
        <v>674</v>
      </c>
      <c r="C530" s="2" t="str">
        <f>INDEX(รายการสาร!$B:$B,MATCH($B530,รายการสาร!$A:$A,0))</f>
        <v>น้ำยาเติมหมึกแท่นประทับ</v>
      </c>
      <c r="D530" s="2" t="str">
        <f>INDEX(รายการสาร!$C:$C,MATCH($B530,รายการสาร!$A:$A,0))</f>
        <v>น้ำยาเติมหมึกแท่นประทับ</v>
      </c>
      <c r="E530" s="2" t="s">
        <v>509</v>
      </c>
      <c r="F530" s="2" t="s">
        <v>103</v>
      </c>
      <c r="G530" s="3"/>
      <c r="H530" s="3"/>
      <c r="I530" s="3"/>
      <c r="J530" s="3" t="s">
        <v>23</v>
      </c>
      <c r="K530" s="3"/>
      <c r="L530" s="3"/>
      <c r="M530" s="3"/>
      <c r="N530" s="3"/>
      <c r="O530" s="3"/>
      <c r="P530" s="3" t="s">
        <v>23</v>
      </c>
      <c r="Q530" s="3"/>
      <c r="R530" s="3"/>
      <c r="S530" s="3"/>
      <c r="T530" s="3"/>
      <c r="U530" s="3"/>
      <c r="V530" s="3"/>
      <c r="W530" s="3"/>
    </row>
    <row r="531" spans="1:23" x14ac:dyDescent="0.25">
      <c r="A531" s="2" t="s">
        <v>673</v>
      </c>
      <c r="B531" s="3" t="s">
        <v>276</v>
      </c>
      <c r="C531" s="2" t="str">
        <f>INDEX(รายการสาร!$B:$B,MATCH($B531,รายการสาร!$A:$A,0))</f>
        <v>Alcohol Gel</v>
      </c>
      <c r="D531" s="2" t="str">
        <f>INDEX(รายการสาร!$C:$C,MATCH($B531,รายการสาร!$A:$A,0))</f>
        <v>Clean hand Gel</v>
      </c>
      <c r="E531" s="2" t="s">
        <v>675</v>
      </c>
      <c r="F531" s="2" t="s">
        <v>103</v>
      </c>
      <c r="G531" s="3"/>
      <c r="H531" s="3" t="s">
        <v>23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 t="s">
        <v>23</v>
      </c>
    </row>
    <row r="532" spans="1:23" ht="27.6" customHeight="1" x14ac:dyDescent="0.25">
      <c r="A532" s="2" t="s">
        <v>673</v>
      </c>
      <c r="B532" s="3" t="s">
        <v>676</v>
      </c>
      <c r="C532" s="2" t="str">
        <f>INDEX(รายการสาร!$B:$B,MATCH($B532,รายการสาร!$A:$A,0))</f>
        <v>70% Alcohol</v>
      </c>
      <c r="D532" s="2" t="str">
        <f>INDEX(รายการสาร!$C:$C,MATCH($B532,รายการสาร!$A:$A,0))</f>
        <v>Perservative solution 70%</v>
      </c>
      <c r="E532" s="2" t="s">
        <v>677</v>
      </c>
      <c r="F532" s="2" t="s">
        <v>103</v>
      </c>
      <c r="G532" s="3"/>
      <c r="H532" s="3" t="s">
        <v>23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 t="s">
        <v>23</v>
      </c>
    </row>
    <row r="533" spans="1:23" ht="41.4" customHeight="1" x14ac:dyDescent="0.25">
      <c r="A533" s="2" t="s">
        <v>678</v>
      </c>
      <c r="B533" s="3" t="s">
        <v>113</v>
      </c>
      <c r="C533" s="2" t="str">
        <f>INDEX(รายการสาร!$B:$B,MATCH($B533,รายการสาร!$A:$A,0))</f>
        <v>น้ำยาล้างจาน</v>
      </c>
      <c r="D533" s="2" t="str">
        <f>INDEX(รายการสาร!$C:$C,MATCH($B533,รายการสาร!$A:$A,0))</f>
        <v>ไลปอนเอฟ หรือ มาวิน หรือ ซันไลต์</v>
      </c>
      <c r="E533" s="2" t="s">
        <v>509</v>
      </c>
      <c r="F533" s="2" t="s">
        <v>103</v>
      </c>
      <c r="G533" s="3"/>
      <c r="H533" s="3"/>
      <c r="I533" s="3"/>
      <c r="J533" s="3"/>
      <c r="K533" s="3"/>
      <c r="L533" s="3"/>
      <c r="M533" s="3"/>
      <c r="N533" s="3"/>
      <c r="O533" s="3" t="s">
        <v>23</v>
      </c>
      <c r="P533" s="3"/>
      <c r="Q533" s="3"/>
      <c r="R533" s="3"/>
      <c r="S533" s="3"/>
      <c r="T533" s="3"/>
      <c r="U533" s="3"/>
      <c r="V533" s="3"/>
      <c r="W533" s="3"/>
    </row>
    <row r="534" spans="1:23" ht="41.4" customHeight="1" x14ac:dyDescent="0.25">
      <c r="A534" s="2" t="s">
        <v>679</v>
      </c>
      <c r="B534" s="3" t="s">
        <v>113</v>
      </c>
      <c r="C534" s="2" t="str">
        <f>INDEX(รายการสาร!$B:$B,MATCH($B534,รายการสาร!$A:$A,0))</f>
        <v>น้ำยาล้างจาน</v>
      </c>
      <c r="D534" s="2" t="str">
        <f>INDEX(รายการสาร!$C:$C,MATCH($B534,รายการสาร!$A:$A,0))</f>
        <v>ไลปอนเอฟ หรือ มาวิน หรือ ซันไลต์</v>
      </c>
      <c r="E534" s="2" t="s">
        <v>667</v>
      </c>
      <c r="F534" s="2" t="s">
        <v>103</v>
      </c>
      <c r="G534" s="3"/>
      <c r="H534" s="3"/>
      <c r="I534" s="3"/>
      <c r="J534" s="3"/>
      <c r="K534" s="3"/>
      <c r="L534" s="3"/>
      <c r="M534" s="3"/>
      <c r="N534" s="3"/>
      <c r="O534" s="3" t="s">
        <v>23</v>
      </c>
      <c r="P534" s="3"/>
      <c r="Q534" s="3"/>
      <c r="R534" s="3"/>
      <c r="S534" s="3"/>
      <c r="T534" s="3"/>
      <c r="U534" s="3"/>
      <c r="V534" s="3"/>
      <c r="W534" s="3"/>
    </row>
    <row r="535" spans="1:23" ht="27.6" customHeight="1" x14ac:dyDescent="0.25">
      <c r="A535" s="2" t="s">
        <v>679</v>
      </c>
      <c r="B535" s="3" t="s">
        <v>680</v>
      </c>
      <c r="C535" s="2" t="str">
        <f>INDEX(รายการสาร!$B:$B,MATCH($B535,รายการสาร!$A:$A,0))</f>
        <v>70% Ethyl Alcohol</v>
      </c>
      <c r="D535" s="2" t="str">
        <f>INDEX(รายการสาร!$C:$C,MATCH($B535,รายการสาร!$A:$A,0))</f>
        <v>Preservative solution 70%</v>
      </c>
      <c r="E535" s="2" t="s">
        <v>677</v>
      </c>
      <c r="F535" s="2" t="s">
        <v>103</v>
      </c>
      <c r="G535" s="3"/>
      <c r="H535" s="3" t="s">
        <v>23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 t="s">
        <v>23</v>
      </c>
    </row>
    <row r="536" spans="1:23" ht="27.6" customHeight="1" x14ac:dyDescent="0.25">
      <c r="A536" s="2" t="s">
        <v>679</v>
      </c>
      <c r="B536" s="3" t="s">
        <v>60</v>
      </c>
      <c r="C536" s="2" t="str">
        <f>INDEX(รายการสาร!$B:$B,MATCH($B536,รายการสาร!$A:$A,0))</f>
        <v>GER-MA-WAY Disinfectant</v>
      </c>
      <c r="D536" s="2" t="str">
        <f>INDEX(รายการสาร!$C:$C,MATCH($B536,รายการสาร!$A:$A,0))</f>
        <v>GER-MA-WAY Disinfectant</v>
      </c>
      <c r="E536" s="2" t="s">
        <v>559</v>
      </c>
      <c r="F536" s="2" t="s">
        <v>103</v>
      </c>
      <c r="G536" s="3"/>
      <c r="H536" s="3"/>
      <c r="I536" s="3"/>
      <c r="J536" s="3"/>
      <c r="K536" s="3"/>
      <c r="L536" s="3"/>
      <c r="M536" s="3"/>
      <c r="N536" s="3"/>
      <c r="O536" s="3" t="s">
        <v>23</v>
      </c>
      <c r="P536" s="3"/>
      <c r="Q536" s="3"/>
      <c r="R536" s="3"/>
      <c r="S536" s="3"/>
      <c r="T536" s="3"/>
      <c r="U536" s="3"/>
      <c r="V536" s="3"/>
      <c r="W536" s="3"/>
    </row>
    <row r="537" spans="1:23" ht="27.6" customHeight="1" x14ac:dyDescent="0.25">
      <c r="A537" s="2" t="s">
        <v>679</v>
      </c>
      <c r="B537" s="3" t="s">
        <v>674</v>
      </c>
      <c r="C537" s="2" t="str">
        <f>INDEX(รายการสาร!$B:$B,MATCH($B537,รายการสาร!$A:$A,0))</f>
        <v>น้ำยาเติมหมึกแท่นประทับ</v>
      </c>
      <c r="D537" s="2" t="str">
        <f>INDEX(รายการสาร!$C:$C,MATCH($B537,รายการสาร!$A:$A,0))</f>
        <v>น้ำยาเติมหมึกแท่นประทับ</v>
      </c>
      <c r="E537" s="2" t="s">
        <v>642</v>
      </c>
      <c r="F537" s="2" t="s">
        <v>103</v>
      </c>
      <c r="G537" s="3"/>
      <c r="H537" s="3"/>
      <c r="I537" s="3"/>
      <c r="J537" s="3" t="s">
        <v>23</v>
      </c>
      <c r="K537" s="3"/>
      <c r="L537" s="3"/>
      <c r="M537" s="3"/>
      <c r="N537" s="3"/>
      <c r="O537" s="3"/>
      <c r="P537" s="3" t="s">
        <v>23</v>
      </c>
      <c r="Q537" s="3"/>
      <c r="R537" s="3"/>
      <c r="S537" s="3"/>
      <c r="T537" s="3"/>
      <c r="U537" s="3"/>
      <c r="V537" s="3"/>
      <c r="W537" s="3"/>
    </row>
    <row r="538" spans="1:23" ht="41.4" customHeight="1" x14ac:dyDescent="0.25">
      <c r="A538" s="2" t="s">
        <v>681</v>
      </c>
      <c r="B538" s="3" t="s">
        <v>113</v>
      </c>
      <c r="C538" s="2" t="str">
        <f>INDEX(รายการสาร!$B:$B,MATCH($B538,รายการสาร!$A:$A,0))</f>
        <v>น้ำยาล้างจาน</v>
      </c>
      <c r="D538" s="2" t="str">
        <f>INDEX(รายการสาร!$C:$C,MATCH($B538,รายการสาร!$A:$A,0))</f>
        <v>ไลปอนเอฟ หรือ มาวิน หรือ ซันไลต์</v>
      </c>
      <c r="E538" s="2" t="s">
        <v>509</v>
      </c>
      <c r="F538" s="2" t="s">
        <v>363</v>
      </c>
      <c r="G538" s="3"/>
      <c r="H538" s="3"/>
      <c r="I538" s="3"/>
      <c r="J538" s="3"/>
      <c r="K538" s="3"/>
      <c r="L538" s="3"/>
      <c r="M538" s="3"/>
      <c r="N538" s="3"/>
      <c r="O538" s="3" t="s">
        <v>23</v>
      </c>
      <c r="P538" s="3"/>
      <c r="Q538" s="3"/>
      <c r="R538" s="3"/>
      <c r="S538" s="3"/>
      <c r="T538" s="3"/>
      <c r="U538" s="3"/>
      <c r="V538" s="3"/>
      <c r="W538" s="3"/>
    </row>
    <row r="539" spans="1:23" ht="41.4" customHeight="1" x14ac:dyDescent="0.25">
      <c r="A539" s="2" t="s">
        <v>682</v>
      </c>
      <c r="B539" s="3" t="s">
        <v>113</v>
      </c>
      <c r="C539" s="2" t="str">
        <f>INDEX(รายการสาร!$B:$B,MATCH($B539,รายการสาร!$A:$A,0))</f>
        <v>น้ำยาล้างจาน</v>
      </c>
      <c r="D539" s="2" t="str">
        <f>INDEX(รายการสาร!$C:$C,MATCH($B539,รายการสาร!$A:$A,0))</f>
        <v>ไลปอนเอฟ หรือ มาวิน หรือ ซันไลต์</v>
      </c>
      <c r="E539" s="2" t="s">
        <v>667</v>
      </c>
      <c r="F539" s="2" t="s">
        <v>103</v>
      </c>
      <c r="G539" s="3"/>
      <c r="H539" s="3"/>
      <c r="I539" s="3"/>
      <c r="J539" s="3"/>
      <c r="K539" s="3"/>
      <c r="L539" s="3"/>
      <c r="M539" s="3"/>
      <c r="N539" s="3"/>
      <c r="O539" s="3" t="s">
        <v>23</v>
      </c>
      <c r="P539" s="3"/>
      <c r="Q539" s="3"/>
      <c r="R539" s="3"/>
      <c r="S539" s="3"/>
      <c r="T539" s="3"/>
      <c r="U539" s="3"/>
      <c r="V539" s="3"/>
      <c r="W539" s="3"/>
    </row>
    <row r="540" spans="1:23" ht="41.4" customHeight="1" x14ac:dyDescent="0.25">
      <c r="A540" s="2" t="s">
        <v>683</v>
      </c>
      <c r="B540" s="3" t="s">
        <v>113</v>
      </c>
      <c r="C540" s="2" t="str">
        <f>INDEX(รายการสาร!$B:$B,MATCH($B540,รายการสาร!$A:$A,0))</f>
        <v>น้ำยาล้างจาน</v>
      </c>
      <c r="D540" s="2" t="str">
        <f>INDEX(รายการสาร!$C:$C,MATCH($B540,รายการสาร!$A:$A,0))</f>
        <v>ไลปอนเอฟ หรือ มาวิน หรือ ซันไลต์</v>
      </c>
      <c r="E540" s="2" t="s">
        <v>111</v>
      </c>
      <c r="F540" s="2" t="s">
        <v>103</v>
      </c>
      <c r="G540" s="3"/>
      <c r="H540" s="3"/>
      <c r="I540" s="3"/>
      <c r="J540" s="3"/>
      <c r="K540" s="3"/>
      <c r="L540" s="3"/>
      <c r="M540" s="3"/>
      <c r="N540" s="3"/>
      <c r="O540" s="3" t="s">
        <v>23</v>
      </c>
      <c r="P540" s="3"/>
      <c r="Q540" s="3"/>
      <c r="R540" s="3"/>
      <c r="S540" s="3"/>
      <c r="T540" s="3"/>
      <c r="U540" s="3"/>
      <c r="V540" s="3"/>
      <c r="W540" s="3"/>
    </row>
    <row r="541" spans="1:23" ht="41.4" customHeight="1" x14ac:dyDescent="0.25">
      <c r="A541" s="2" t="s">
        <v>684</v>
      </c>
      <c r="B541" s="3" t="s">
        <v>113</v>
      </c>
      <c r="C541" s="2" t="str">
        <f>INDEX(รายการสาร!$B:$B,MATCH($B541,รายการสาร!$A:$A,0))</f>
        <v>น้ำยาล้างจาน</v>
      </c>
      <c r="D541" s="2" t="str">
        <f>INDEX(รายการสาร!$C:$C,MATCH($B541,รายการสาร!$A:$A,0))</f>
        <v>ไลปอนเอฟ หรือ มาวิน หรือ ซันไลต์</v>
      </c>
      <c r="E541" s="2" t="s">
        <v>509</v>
      </c>
      <c r="F541" s="2" t="s">
        <v>103</v>
      </c>
      <c r="G541" s="3"/>
      <c r="H541" s="3"/>
      <c r="I541" s="3"/>
      <c r="J541" s="3"/>
      <c r="K541" s="3"/>
      <c r="L541" s="3"/>
      <c r="M541" s="3"/>
      <c r="N541" s="3"/>
      <c r="O541" s="3" t="s">
        <v>23</v>
      </c>
      <c r="P541" s="3"/>
      <c r="Q541" s="3"/>
      <c r="R541" s="3"/>
      <c r="S541" s="3"/>
      <c r="T541" s="3"/>
      <c r="U541" s="3"/>
      <c r="V541" s="3"/>
      <c r="W541" s="3"/>
    </row>
    <row r="542" spans="1:23" ht="41.4" customHeight="1" x14ac:dyDescent="0.25">
      <c r="A542" s="2" t="s">
        <v>685</v>
      </c>
      <c r="B542" s="3" t="s">
        <v>113</v>
      </c>
      <c r="C542" s="2" t="str">
        <f>INDEX(รายการสาร!$B:$B,MATCH($B542,รายการสาร!$A:$A,0))</f>
        <v>น้ำยาล้างจาน</v>
      </c>
      <c r="D542" s="2" t="str">
        <f>INDEX(รายการสาร!$C:$C,MATCH($B542,รายการสาร!$A:$A,0))</f>
        <v>ไลปอนเอฟ หรือ มาวิน หรือ ซันไลต์</v>
      </c>
      <c r="E542" s="2" t="s">
        <v>509</v>
      </c>
      <c r="F542" s="2" t="s">
        <v>103</v>
      </c>
      <c r="G542" s="3"/>
      <c r="H542" s="3"/>
      <c r="I542" s="3"/>
      <c r="J542" s="3"/>
      <c r="K542" s="3"/>
      <c r="L542" s="3"/>
      <c r="M542" s="3"/>
      <c r="N542" s="3"/>
      <c r="O542" s="3" t="s">
        <v>23</v>
      </c>
      <c r="P542" s="3"/>
      <c r="Q542" s="3"/>
      <c r="R542" s="3"/>
      <c r="S542" s="3"/>
      <c r="T542" s="3"/>
      <c r="U542" s="3"/>
      <c r="V542" s="3"/>
      <c r="W542" s="3"/>
    </row>
    <row r="543" spans="1:23" ht="41.4" customHeight="1" x14ac:dyDescent="0.25">
      <c r="A543" s="2" t="s">
        <v>686</v>
      </c>
      <c r="B543" s="3" t="s">
        <v>113</v>
      </c>
      <c r="C543" s="2" t="str">
        <f>INDEX(รายการสาร!$B:$B,MATCH($B543,รายการสาร!$A:$A,0))</f>
        <v>น้ำยาล้างจาน</v>
      </c>
      <c r="D543" s="2" t="str">
        <f>INDEX(รายการสาร!$C:$C,MATCH($B543,รายการสาร!$A:$A,0))</f>
        <v>ไลปอนเอฟ หรือ มาวิน หรือ ซันไลต์</v>
      </c>
      <c r="E543" s="2" t="s">
        <v>667</v>
      </c>
      <c r="F543" s="2" t="s">
        <v>103</v>
      </c>
      <c r="G543" s="3"/>
      <c r="H543" s="3"/>
      <c r="I543" s="3"/>
      <c r="J543" s="3"/>
      <c r="K543" s="3"/>
      <c r="L543" s="3"/>
      <c r="M543" s="3"/>
      <c r="N543" s="3"/>
      <c r="O543" s="3" t="s">
        <v>23</v>
      </c>
      <c r="P543" s="3"/>
      <c r="Q543" s="3"/>
      <c r="R543" s="3"/>
      <c r="S543" s="3"/>
      <c r="T543" s="3"/>
      <c r="U543" s="3"/>
      <c r="V543" s="3"/>
      <c r="W543" s="3"/>
    </row>
    <row r="544" spans="1:23" ht="27.6" customHeight="1" x14ac:dyDescent="0.25">
      <c r="A544" s="2" t="s">
        <v>686</v>
      </c>
      <c r="B544" s="3" t="s">
        <v>687</v>
      </c>
      <c r="C544" s="2" t="str">
        <f>INDEX(รายการสาร!$B:$B,MATCH($B544,รายการสาร!$A:$A,0))</f>
        <v>70 % Ethy alcohol</v>
      </c>
      <c r="D544" s="2" t="str">
        <f>INDEX(รายการสาร!$C:$C,MATCH($B544,รายการสาร!$A:$A,0))</f>
        <v>Preservative solution 70%</v>
      </c>
      <c r="E544" s="2" t="s">
        <v>677</v>
      </c>
      <c r="F544" s="2" t="s">
        <v>103</v>
      </c>
      <c r="G544" s="3"/>
      <c r="H544" s="3" t="s">
        <v>23</v>
      </c>
      <c r="I544" s="3"/>
      <c r="J544" s="3"/>
      <c r="K544" s="3"/>
      <c r="L544" s="3"/>
      <c r="M544" s="3"/>
      <c r="N544" s="3"/>
      <c r="O544" s="3"/>
      <c r="P544" s="3"/>
      <c r="Q544" s="3" t="s">
        <v>23</v>
      </c>
      <c r="R544" s="3" t="s">
        <v>23</v>
      </c>
      <c r="S544" s="3"/>
      <c r="T544" s="3"/>
      <c r="U544" s="3"/>
      <c r="V544" s="3"/>
      <c r="W544" s="3" t="s">
        <v>23</v>
      </c>
    </row>
    <row r="545" spans="1:23" ht="27.6" customHeight="1" x14ac:dyDescent="0.25">
      <c r="A545" s="2" t="s">
        <v>686</v>
      </c>
      <c r="B545" s="3" t="s">
        <v>688</v>
      </c>
      <c r="C545" s="2" t="str">
        <f>INDEX(รายการสาร!$B:$B,MATCH($B545,รายการสาร!$A:$A,0))</f>
        <v>GER-MA-WAY Disinfection</v>
      </c>
      <c r="D545" s="2" t="str">
        <f>INDEX(รายการสาร!$C:$C,MATCH($B545,รายการสาร!$A:$A,0))</f>
        <v>GER-MA-WAY Disinfection</v>
      </c>
      <c r="E545" s="2" t="s">
        <v>258</v>
      </c>
      <c r="F545" s="2" t="s">
        <v>103</v>
      </c>
      <c r="G545" s="3"/>
      <c r="H545" s="3" t="s">
        <v>23</v>
      </c>
      <c r="I545" s="3"/>
      <c r="J545" s="3"/>
      <c r="K545" s="3"/>
      <c r="L545" s="3"/>
      <c r="M545" s="3"/>
      <c r="N545" s="3"/>
      <c r="O545" s="3" t="s">
        <v>23</v>
      </c>
      <c r="P545" s="3"/>
      <c r="Q545" s="3" t="s">
        <v>23</v>
      </c>
      <c r="R545" s="3" t="s">
        <v>23</v>
      </c>
      <c r="S545" s="3"/>
      <c r="T545" s="3"/>
      <c r="U545" s="3"/>
      <c r="V545" s="3"/>
      <c r="W545" s="3" t="s">
        <v>23</v>
      </c>
    </row>
    <row r="546" spans="1:23" ht="27.6" customHeight="1" x14ac:dyDescent="0.25">
      <c r="A546" s="2" t="s">
        <v>686</v>
      </c>
      <c r="B546" s="3" t="s">
        <v>674</v>
      </c>
      <c r="C546" s="2" t="str">
        <f>INDEX(รายการสาร!$B:$B,MATCH($B546,รายการสาร!$A:$A,0))</f>
        <v>น้ำยาเติมหมึกแท่นประทับ</v>
      </c>
      <c r="D546" s="2" t="str">
        <f>INDEX(รายการสาร!$C:$C,MATCH($B546,รายการสาร!$A:$A,0))</f>
        <v>น้ำยาเติมหมึกแท่นประทับ</v>
      </c>
      <c r="E546" s="2" t="s">
        <v>689</v>
      </c>
      <c r="F546" s="2" t="s">
        <v>103</v>
      </c>
      <c r="G546" s="3"/>
      <c r="H546" s="3"/>
      <c r="I546" s="3"/>
      <c r="J546" s="3" t="s">
        <v>23</v>
      </c>
      <c r="K546" s="3"/>
      <c r="L546" s="3"/>
      <c r="M546" s="3"/>
      <c r="N546" s="3"/>
      <c r="O546" s="3"/>
      <c r="P546" s="3" t="s">
        <v>23</v>
      </c>
      <c r="Q546" s="3"/>
      <c r="R546" s="3"/>
      <c r="S546" s="3"/>
      <c r="T546" s="3"/>
      <c r="U546" s="3"/>
      <c r="V546" s="3"/>
      <c r="W546" s="3"/>
    </row>
    <row r="547" spans="1:23" ht="27.6" customHeight="1" x14ac:dyDescent="0.25">
      <c r="A547" s="2" t="s">
        <v>96</v>
      </c>
      <c r="B547" s="3" t="s">
        <v>690</v>
      </c>
      <c r="C547" s="2" t="str">
        <f>INDEX(รายการสาร!$B:$B,MATCH($B547,รายการสาร!$A:$A,0))</f>
        <v>Alcohol Gel ล้างมือติดผนัง</v>
      </c>
      <c r="D547" s="2" t="str">
        <f>INDEX(รายการสาร!$C:$C,MATCH($B547,รายการสาร!$A:$A,0))</f>
        <v>Purell (Hand Sanitizer)</v>
      </c>
      <c r="E547" s="2" t="s">
        <v>128</v>
      </c>
      <c r="F547" s="2" t="s">
        <v>117</v>
      </c>
      <c r="G547" s="3"/>
      <c r="H547" s="3"/>
      <c r="I547" s="3"/>
      <c r="J547" s="3"/>
      <c r="K547" s="3"/>
      <c r="L547" s="3"/>
      <c r="M547" s="3"/>
      <c r="N547" s="3"/>
      <c r="O547" s="3" t="s">
        <v>23</v>
      </c>
      <c r="P547" s="3"/>
      <c r="Q547" s="3"/>
      <c r="R547" s="3"/>
      <c r="S547" s="3"/>
      <c r="T547" s="3"/>
      <c r="U547" s="3"/>
      <c r="V547" s="3"/>
      <c r="W547" s="3"/>
    </row>
    <row r="548" spans="1:23" x14ac:dyDescent="0.25">
      <c r="A548" s="2" t="s">
        <v>96</v>
      </c>
      <c r="B548" s="3" t="s">
        <v>691</v>
      </c>
      <c r="C548" s="2" t="str">
        <f>INDEX(รายการสาร!$B:$B,MATCH($B548,รายการสาร!$A:$A,0))</f>
        <v>ACETONE (450 ml)</v>
      </c>
      <c r="D548" s="2" t="str">
        <f>INDEX(รายการสาร!$C:$C,MATCH($B548,รายการสาร!$A:$A,0))</f>
        <v>Acetone</v>
      </c>
      <c r="E548" s="2" t="s">
        <v>692</v>
      </c>
      <c r="F548" s="2" t="s">
        <v>565</v>
      </c>
      <c r="G548" s="3"/>
      <c r="H548" s="3" t="s">
        <v>23</v>
      </c>
      <c r="I548" s="3"/>
      <c r="J548" s="3"/>
      <c r="K548" s="3"/>
      <c r="L548" s="3"/>
      <c r="M548" s="3" t="s">
        <v>23</v>
      </c>
      <c r="N548" s="3"/>
      <c r="O548" s="3" t="s">
        <v>23</v>
      </c>
      <c r="P548" s="3"/>
      <c r="Q548" s="3" t="s">
        <v>23</v>
      </c>
      <c r="R548" s="3" t="s">
        <v>23</v>
      </c>
      <c r="S548" s="3"/>
      <c r="T548" s="3"/>
      <c r="U548" s="3"/>
      <c r="V548" s="3"/>
      <c r="W548" s="3" t="s">
        <v>23</v>
      </c>
    </row>
    <row r="549" spans="1:23" x14ac:dyDescent="0.25">
      <c r="A549" s="2" t="s">
        <v>96</v>
      </c>
      <c r="B549" s="3" t="s">
        <v>693</v>
      </c>
      <c r="C549" s="2" t="str">
        <f>INDEX(รายการสาร!$B:$B,MATCH($B549,รายการสาร!$A:$A,0))</f>
        <v>ALCOHOL PAD.</v>
      </c>
      <c r="D549" s="2" t="str">
        <f>INDEX(รายการสาร!$C:$C,MATCH($B549,รายการสาร!$A:$A,0))</f>
        <v>Neoplast</v>
      </c>
      <c r="E549" s="2" t="s">
        <v>694</v>
      </c>
      <c r="F549" s="2" t="s">
        <v>565</v>
      </c>
      <c r="G549" s="3"/>
      <c r="H549" s="3" t="s">
        <v>23</v>
      </c>
      <c r="I549" s="3"/>
      <c r="J549" s="3"/>
      <c r="K549" s="3"/>
      <c r="L549" s="3"/>
      <c r="M549" s="3"/>
      <c r="N549" s="3"/>
      <c r="O549" s="3" t="s">
        <v>23</v>
      </c>
      <c r="P549" s="3"/>
      <c r="Q549" s="3" t="s">
        <v>23</v>
      </c>
      <c r="R549" s="3" t="s">
        <v>23</v>
      </c>
      <c r="S549" s="3" t="s">
        <v>23</v>
      </c>
      <c r="T549" s="3" t="s">
        <v>23</v>
      </c>
      <c r="U549" s="3"/>
      <c r="V549" s="3"/>
      <c r="W549" s="3" t="s">
        <v>23</v>
      </c>
    </row>
    <row r="550" spans="1:23" x14ac:dyDescent="0.25">
      <c r="A550" s="2" t="s">
        <v>96</v>
      </c>
      <c r="B550" s="3" t="s">
        <v>695</v>
      </c>
      <c r="C550" s="2" t="str">
        <f>INDEX(รายการสาร!$B:$B,MATCH($B550,รายการสาร!$A:$A,0))</f>
        <v>ALCOHOL 70% (60 ml)</v>
      </c>
      <c r="D550" s="2" t="str">
        <f>INDEX(รายการสาร!$C:$C,MATCH($B550,รายการสาร!$A:$A,0))</f>
        <v>Ethyl alcohol</v>
      </c>
      <c r="E550" s="2" t="s">
        <v>696</v>
      </c>
      <c r="F550" s="2" t="s">
        <v>565</v>
      </c>
      <c r="G550" s="3"/>
      <c r="H550" s="3" t="s">
        <v>23</v>
      </c>
      <c r="I550" s="3"/>
      <c r="J550" s="3"/>
      <c r="K550" s="3"/>
      <c r="L550" s="3"/>
      <c r="M550" s="3"/>
      <c r="N550" s="3"/>
      <c r="O550" s="3" t="s">
        <v>23</v>
      </c>
      <c r="P550" s="3"/>
      <c r="Q550" s="3" t="s">
        <v>23</v>
      </c>
      <c r="R550" s="3" t="s">
        <v>23</v>
      </c>
      <c r="S550" s="3" t="s">
        <v>23</v>
      </c>
      <c r="T550" s="3" t="s">
        <v>23</v>
      </c>
      <c r="U550" s="3"/>
      <c r="V550" s="3"/>
      <c r="W550" s="3" t="s">
        <v>23</v>
      </c>
    </row>
    <row r="551" spans="1:23" x14ac:dyDescent="0.25">
      <c r="A551" s="2" t="s">
        <v>96</v>
      </c>
      <c r="B551" s="3" t="s">
        <v>369</v>
      </c>
      <c r="C551" s="2" t="str">
        <f>INDEX(รายการสาร!$B:$B,MATCH($B551,รายการสาร!$A:$A,0))</f>
        <v>ALCOHOL 70% (1,000 ml).</v>
      </c>
      <c r="D551" s="2" t="str">
        <f>INDEX(รายการสาร!$C:$C,MATCH($B551,รายการสาร!$A:$A,0))</f>
        <v>Ethyl alcohol</v>
      </c>
      <c r="E551" s="2" t="s">
        <v>697</v>
      </c>
      <c r="F551" s="2" t="s">
        <v>565</v>
      </c>
      <c r="G551" s="3"/>
      <c r="H551" s="3" t="s">
        <v>23</v>
      </c>
      <c r="I551" s="3"/>
      <c r="J551" s="3"/>
      <c r="K551" s="3"/>
      <c r="L551" s="3"/>
      <c r="M551" s="3"/>
      <c r="N551" s="3"/>
      <c r="O551" s="3" t="s">
        <v>23</v>
      </c>
      <c r="P551" s="3"/>
      <c r="Q551" s="3" t="s">
        <v>23</v>
      </c>
      <c r="R551" s="3" t="s">
        <v>23</v>
      </c>
      <c r="S551" s="3" t="s">
        <v>23</v>
      </c>
      <c r="T551" s="3" t="s">
        <v>23</v>
      </c>
      <c r="U551" s="3"/>
      <c r="V551" s="3"/>
      <c r="W551" s="3" t="s">
        <v>23</v>
      </c>
    </row>
    <row r="552" spans="1:23" x14ac:dyDescent="0.25">
      <c r="A552" s="2" t="s">
        <v>96</v>
      </c>
      <c r="B552" s="3" t="s">
        <v>698</v>
      </c>
      <c r="C552" s="2" t="str">
        <f>INDEX(รายการสาร!$B:$B,MATCH($B552,รายการสาร!$A:$A,0))</f>
        <v>ALCOHOL 95% (450 ml).</v>
      </c>
      <c r="D552" s="2" t="str">
        <f>INDEX(รายการสาร!$C:$C,MATCH($B552,รายการสาร!$A:$A,0))</f>
        <v>Ethyl alcohol</v>
      </c>
      <c r="E552" s="2" t="s">
        <v>379</v>
      </c>
      <c r="F552" s="2" t="s">
        <v>565</v>
      </c>
      <c r="G552" s="3"/>
      <c r="H552" s="3" t="s">
        <v>23</v>
      </c>
      <c r="I552" s="3"/>
      <c r="J552" s="3"/>
      <c r="K552" s="3"/>
      <c r="L552" s="3"/>
      <c r="M552" s="3"/>
      <c r="N552" s="3"/>
      <c r="O552" s="3" t="s">
        <v>23</v>
      </c>
      <c r="P552" s="3"/>
      <c r="Q552" s="3" t="s">
        <v>23</v>
      </c>
      <c r="R552" s="3" t="s">
        <v>23</v>
      </c>
      <c r="S552" s="3" t="s">
        <v>23</v>
      </c>
      <c r="T552" s="3" t="s">
        <v>23</v>
      </c>
      <c r="U552" s="3"/>
      <c r="V552" s="3"/>
      <c r="W552" s="3" t="s">
        <v>23</v>
      </c>
    </row>
    <row r="553" spans="1:23" x14ac:dyDescent="0.25">
      <c r="A553" s="2" t="s">
        <v>96</v>
      </c>
      <c r="B553" s="3" t="s">
        <v>699</v>
      </c>
      <c r="C553" s="2" t="str">
        <f>INDEX(รายการสาร!$B:$B,MATCH($B553,รายการสาร!$A:$A,0))</f>
        <v>ALCOHOL 70% (450 ml).</v>
      </c>
      <c r="D553" s="2" t="str">
        <f>INDEX(รายการสาร!$C:$C,MATCH($B553,รายการสาร!$A:$A,0))</f>
        <v>Ethyl alcohol</v>
      </c>
      <c r="E553" s="2" t="s">
        <v>700</v>
      </c>
      <c r="F553" s="2" t="s">
        <v>565</v>
      </c>
      <c r="G553" s="3"/>
      <c r="H553" s="3" t="s">
        <v>23</v>
      </c>
      <c r="I553" s="3"/>
      <c r="J553" s="3"/>
      <c r="K553" s="3"/>
      <c r="L553" s="3"/>
      <c r="M553" s="3"/>
      <c r="N553" s="3"/>
      <c r="O553" s="3" t="s">
        <v>23</v>
      </c>
      <c r="P553" s="3"/>
      <c r="Q553" s="3" t="s">
        <v>23</v>
      </c>
      <c r="R553" s="3" t="s">
        <v>23</v>
      </c>
      <c r="S553" s="3" t="s">
        <v>23</v>
      </c>
      <c r="T553" s="3" t="s">
        <v>23</v>
      </c>
      <c r="U553" s="3"/>
      <c r="V553" s="3"/>
      <c r="W553" s="3" t="s">
        <v>23</v>
      </c>
    </row>
    <row r="554" spans="1:23" x14ac:dyDescent="0.25">
      <c r="A554" s="2" t="s">
        <v>96</v>
      </c>
      <c r="B554" s="3" t="s">
        <v>94</v>
      </c>
      <c r="C554" s="2" t="str">
        <f>INDEX(รายการสาร!$B:$B,MATCH($B554,รายการสาร!$A:$A,0))</f>
        <v>ALCOHOL HAND GEL (4 OZ with Pump).</v>
      </c>
      <c r="D554" s="2" t="str">
        <f>INDEX(รายการสาร!$C:$C,MATCH($B554,รายการสาร!$A:$A,0))</f>
        <v>Clear Hand Gel</v>
      </c>
      <c r="E554" s="2" t="s">
        <v>701</v>
      </c>
      <c r="F554" s="2" t="s">
        <v>565</v>
      </c>
      <c r="G554" s="3"/>
      <c r="H554" s="3" t="s">
        <v>23</v>
      </c>
      <c r="I554" s="3"/>
      <c r="J554" s="3"/>
      <c r="K554" s="3"/>
      <c r="L554" s="3"/>
      <c r="M554" s="3"/>
      <c r="N554" s="3"/>
      <c r="O554" s="3" t="s">
        <v>23</v>
      </c>
      <c r="P554" s="3"/>
      <c r="Q554" s="3" t="s">
        <v>23</v>
      </c>
      <c r="R554" s="3" t="s">
        <v>23</v>
      </c>
      <c r="S554" s="3" t="s">
        <v>23</v>
      </c>
      <c r="T554" s="3" t="s">
        <v>23</v>
      </c>
      <c r="U554" s="3"/>
      <c r="V554" s="3"/>
      <c r="W554" s="3" t="s">
        <v>23</v>
      </c>
    </row>
    <row r="555" spans="1:23" x14ac:dyDescent="0.25">
      <c r="A555" s="2" t="s">
        <v>96</v>
      </c>
      <c r="B555" s="3" t="s">
        <v>702</v>
      </c>
      <c r="C555" s="2" t="str">
        <f>INDEX(รายการสาร!$B:$B,MATCH($B555,รายการสาร!$A:$A,0))</f>
        <v>Ammonia solution 30 ml</v>
      </c>
      <c r="D555" s="2" t="str">
        <f>INDEX(รายการสาร!$C:$C,MATCH($B555,รายการสาร!$A:$A,0))</f>
        <v>ammonia</v>
      </c>
      <c r="E555" s="2" t="s">
        <v>703</v>
      </c>
      <c r="F555" s="2" t="s">
        <v>565</v>
      </c>
      <c r="G555" s="3"/>
      <c r="H555" s="3"/>
      <c r="I555" s="3"/>
      <c r="J555" s="3"/>
      <c r="K555" s="3" t="s">
        <v>23</v>
      </c>
      <c r="L555" s="3"/>
      <c r="M555" s="3" t="s">
        <v>23</v>
      </c>
      <c r="N555" s="3"/>
      <c r="O555" s="3"/>
      <c r="P555" s="3"/>
      <c r="Q555" s="3" t="s">
        <v>23</v>
      </c>
      <c r="R555" s="3" t="s">
        <v>23</v>
      </c>
      <c r="S555" s="3" t="s">
        <v>23</v>
      </c>
      <c r="T555" s="3" t="s">
        <v>23</v>
      </c>
      <c r="U555" s="3"/>
      <c r="V555" s="3"/>
      <c r="W555" s="3"/>
    </row>
    <row r="556" spans="1:23" x14ac:dyDescent="0.25">
      <c r="A556" s="2" t="s">
        <v>96</v>
      </c>
      <c r="B556" s="3" t="s">
        <v>704</v>
      </c>
      <c r="C556" s="2" t="str">
        <f>INDEX(รายการสาร!$B:$B,MATCH($B556,รายการสาร!$A:$A,0))</f>
        <v>Betadine solution 60 ml</v>
      </c>
      <c r="D556" s="2" t="str">
        <f>INDEX(รายการสาร!$C:$C,MATCH($B556,รายการสาร!$A:$A,0))</f>
        <v>povidone iodine</v>
      </c>
      <c r="E556" s="2" t="s">
        <v>705</v>
      </c>
      <c r="F556" s="2" t="s">
        <v>565</v>
      </c>
      <c r="G556" s="3"/>
      <c r="H556" s="3"/>
      <c r="I556" s="3"/>
      <c r="J556" s="3"/>
      <c r="K556" s="3"/>
      <c r="L556" s="3" t="s">
        <v>23</v>
      </c>
      <c r="M556" s="3" t="s">
        <v>23</v>
      </c>
      <c r="N556" s="3"/>
      <c r="O556" s="3" t="s">
        <v>23</v>
      </c>
      <c r="P556" s="3"/>
      <c r="Q556" s="3" t="s">
        <v>23</v>
      </c>
      <c r="R556" s="3" t="s">
        <v>23</v>
      </c>
      <c r="S556" s="3" t="s">
        <v>23</v>
      </c>
      <c r="T556" s="3"/>
      <c r="U556" s="3"/>
      <c r="V556" s="3"/>
      <c r="W556" s="3"/>
    </row>
    <row r="557" spans="1:23" x14ac:dyDescent="0.25">
      <c r="A557" s="2" t="s">
        <v>96</v>
      </c>
      <c r="B557" s="3" t="s">
        <v>97</v>
      </c>
      <c r="C557" s="2" t="str">
        <f>INDEX(รายการสาร!$B:$B,MATCH($B557,รายการสาร!$A:$A,0))</f>
        <v>Betadine solution 500 ml</v>
      </c>
      <c r="D557" s="2" t="str">
        <f>INDEX(รายการสาร!$C:$C,MATCH($B557,รายการสาร!$A:$A,0))</f>
        <v>povidone iodine</v>
      </c>
      <c r="E557" s="2" t="s">
        <v>706</v>
      </c>
      <c r="F557" s="2" t="s">
        <v>565</v>
      </c>
      <c r="G557" s="3"/>
      <c r="H557" s="3"/>
      <c r="I557" s="3"/>
      <c r="J557" s="3"/>
      <c r="K557" s="3"/>
      <c r="L557" s="3"/>
      <c r="M557" s="3" t="s">
        <v>23</v>
      </c>
      <c r="N557" s="3"/>
      <c r="O557" s="3" t="s">
        <v>23</v>
      </c>
      <c r="P557" s="3"/>
      <c r="Q557" s="3" t="s">
        <v>23</v>
      </c>
      <c r="R557" s="3" t="s">
        <v>23</v>
      </c>
      <c r="S557" s="3" t="s">
        <v>23</v>
      </c>
      <c r="T557" s="3" t="s">
        <v>23</v>
      </c>
      <c r="U557" s="3"/>
      <c r="V557" s="3"/>
      <c r="W557" s="3"/>
    </row>
    <row r="558" spans="1:23" x14ac:dyDescent="0.25">
      <c r="A558" s="2" t="s">
        <v>96</v>
      </c>
      <c r="B558" s="3" t="s">
        <v>707</v>
      </c>
      <c r="C558" s="2" t="str">
        <f>INDEX(รายการสาร!$B:$B,MATCH($B558,รายการสาร!$A:$A,0))</f>
        <v>Posidone scrubb 1000 ml</v>
      </c>
      <c r="D558" s="2" t="str">
        <f>INDEX(รายการสาร!$C:$C,MATCH($B558,รายการสาร!$A:$A,0))</f>
        <v>povidone iodine</v>
      </c>
      <c r="E558" s="2" t="s">
        <v>692</v>
      </c>
      <c r="F558" s="2" t="s">
        <v>565</v>
      </c>
      <c r="G558" s="3"/>
      <c r="H558" s="3"/>
      <c r="I558" s="3"/>
      <c r="J558" s="3"/>
      <c r="K558" s="3"/>
      <c r="L558" s="3"/>
      <c r="M558" s="3" t="s">
        <v>23</v>
      </c>
      <c r="N558" s="3"/>
      <c r="O558" s="3"/>
      <c r="P558" s="3"/>
      <c r="Q558" s="3" t="s">
        <v>23</v>
      </c>
      <c r="R558" s="3"/>
      <c r="S558" s="3"/>
      <c r="T558" s="3"/>
      <c r="U558" s="3"/>
      <c r="V558" s="3"/>
      <c r="W558" s="3"/>
    </row>
    <row r="559" spans="1:23" x14ac:dyDescent="0.25">
      <c r="A559" s="2" t="s">
        <v>96</v>
      </c>
      <c r="B559" s="3" t="s">
        <v>101</v>
      </c>
      <c r="C559" s="2" t="str">
        <f>INDEX(รายการสาร!$B:$B,MATCH($B559,รายการสาร!$A:$A,0))</f>
        <v>Betadine scrub 500 ml</v>
      </c>
      <c r="D559" s="2" t="str">
        <f>INDEX(รายการสาร!$C:$C,MATCH($B559,รายการสาร!$A:$A,0))</f>
        <v>povidone iodine</v>
      </c>
      <c r="E559" s="2" t="s">
        <v>379</v>
      </c>
      <c r="F559" s="2" t="s">
        <v>565</v>
      </c>
      <c r="G559" s="3"/>
      <c r="H559" s="3"/>
      <c r="I559" s="3"/>
      <c r="J559" s="3"/>
      <c r="K559" s="3"/>
      <c r="L559" s="3"/>
      <c r="M559" s="3" t="s">
        <v>23</v>
      </c>
      <c r="N559" s="3"/>
      <c r="O559" s="3" t="s">
        <v>23</v>
      </c>
      <c r="P559" s="3"/>
      <c r="Q559" s="3" t="s">
        <v>23</v>
      </c>
      <c r="R559" s="3" t="s">
        <v>23</v>
      </c>
      <c r="S559" s="3" t="s">
        <v>23</v>
      </c>
      <c r="T559" s="3" t="s">
        <v>23</v>
      </c>
      <c r="U559" s="3"/>
      <c r="V559" s="3"/>
      <c r="W559" s="3"/>
    </row>
    <row r="560" spans="1:23" ht="27.6" customHeight="1" x14ac:dyDescent="0.25">
      <c r="A560" s="2" t="s">
        <v>96</v>
      </c>
      <c r="B560" s="3" t="s">
        <v>708</v>
      </c>
      <c r="C560" s="2" t="str">
        <f>INDEX(รายการสาร!$B:$B,MATCH($B560,รายการสาร!$A:$A,0))</f>
        <v>2 % Chlorhexidine in 70 % alcohol 120 ml</v>
      </c>
      <c r="D560" s="2" t="str">
        <f>INDEX(รายการสาร!$C:$C,MATCH($B560,รายการสาร!$A:$A,0))</f>
        <v>chlorhexidine gluconate</v>
      </c>
      <c r="E560" s="2" t="s">
        <v>709</v>
      </c>
      <c r="F560" s="2" t="s">
        <v>565</v>
      </c>
      <c r="G560" s="3"/>
      <c r="H560" s="3" t="s">
        <v>23</v>
      </c>
      <c r="I560" s="3"/>
      <c r="J560" s="3"/>
      <c r="K560" s="3" t="s">
        <v>23</v>
      </c>
      <c r="L560" s="3"/>
      <c r="M560" s="3" t="s">
        <v>23</v>
      </c>
      <c r="N560" s="3" t="s">
        <v>23</v>
      </c>
      <c r="O560" s="3" t="s">
        <v>23</v>
      </c>
      <c r="P560" s="3"/>
      <c r="Q560" s="3" t="s">
        <v>23</v>
      </c>
      <c r="R560" s="3" t="s">
        <v>23</v>
      </c>
      <c r="S560" s="3" t="s">
        <v>23</v>
      </c>
      <c r="T560" s="3"/>
      <c r="U560" s="3"/>
      <c r="V560" s="3"/>
      <c r="W560" s="3" t="s">
        <v>23</v>
      </c>
    </row>
    <row r="561" spans="1:23" ht="27.6" customHeight="1" x14ac:dyDescent="0.25">
      <c r="A561" s="2" t="s">
        <v>96</v>
      </c>
      <c r="B561" s="3" t="s">
        <v>710</v>
      </c>
      <c r="C561" s="2" t="str">
        <f>INDEX(รายการสาร!$B:$B,MATCH($B561,รายการสาร!$A:$A,0))</f>
        <v>Hexene (4 % Chlorhexidine solution) 100 ml</v>
      </c>
      <c r="D561" s="2" t="str">
        <f>INDEX(รายการสาร!$C:$C,MATCH($B561,รายการสาร!$A:$A,0))</f>
        <v>chlorhexidine gluconate</v>
      </c>
      <c r="E561" s="2" t="s">
        <v>709</v>
      </c>
      <c r="F561" s="2" t="s">
        <v>565</v>
      </c>
      <c r="G561" s="3"/>
      <c r="H561" s="3" t="s">
        <v>23</v>
      </c>
      <c r="I561" s="3"/>
      <c r="J561" s="3"/>
      <c r="K561" s="3"/>
      <c r="L561" s="3"/>
      <c r="M561" s="3" t="s">
        <v>23</v>
      </c>
      <c r="N561" s="3" t="s">
        <v>23</v>
      </c>
      <c r="O561" s="3" t="s">
        <v>23</v>
      </c>
      <c r="P561" s="3"/>
      <c r="Q561" s="3" t="s">
        <v>23</v>
      </c>
      <c r="R561" s="3" t="s">
        <v>23</v>
      </c>
      <c r="S561" s="3" t="s">
        <v>23</v>
      </c>
      <c r="T561" s="3"/>
      <c r="U561" s="3"/>
      <c r="V561" s="3"/>
      <c r="W561" s="3" t="s">
        <v>23</v>
      </c>
    </row>
    <row r="562" spans="1:23" ht="27.6" customHeight="1" x14ac:dyDescent="0.25">
      <c r="A562" s="2" t="s">
        <v>96</v>
      </c>
      <c r="B562" s="3" t="s">
        <v>711</v>
      </c>
      <c r="C562" s="2" t="str">
        <f>INDEX(รายการสาร!$B:$B,MATCH($B562,รายการสาร!$A:$A,0))</f>
        <v>Hexene (4 % Chlorhexidine solution) 500 ml</v>
      </c>
      <c r="D562" s="2" t="str">
        <f>INDEX(รายการสาร!$C:$C,MATCH($B562,รายการสาร!$A:$A,0))</f>
        <v>chlorhexidine gluconate</v>
      </c>
      <c r="E562" s="2" t="s">
        <v>706</v>
      </c>
      <c r="F562" s="2" t="s">
        <v>565</v>
      </c>
      <c r="G562" s="3"/>
      <c r="H562" s="3" t="s">
        <v>23</v>
      </c>
      <c r="I562" s="3"/>
      <c r="J562" s="3" t="s">
        <v>23</v>
      </c>
      <c r="K562" s="3"/>
      <c r="L562" s="3"/>
      <c r="M562" s="3" t="s">
        <v>23</v>
      </c>
      <c r="N562" s="3" t="s">
        <v>23</v>
      </c>
      <c r="O562" s="3"/>
      <c r="P562" s="3"/>
      <c r="Q562" s="3" t="s">
        <v>23</v>
      </c>
      <c r="R562" s="3" t="s">
        <v>23</v>
      </c>
      <c r="S562" s="3" t="s">
        <v>23</v>
      </c>
      <c r="T562" s="3" t="s">
        <v>23</v>
      </c>
      <c r="U562" s="3"/>
      <c r="V562" s="3"/>
      <c r="W562" s="3" t="s">
        <v>23</v>
      </c>
    </row>
    <row r="563" spans="1:23" ht="27.6" customHeight="1" x14ac:dyDescent="0.25">
      <c r="A563" s="2" t="s">
        <v>96</v>
      </c>
      <c r="B563" s="3" t="s">
        <v>358</v>
      </c>
      <c r="C563" s="2" t="str">
        <f>INDEX(รายการสาร!$B:$B,MATCH($B563,รายการสาร!$A:$A,0))</f>
        <v>Hydrex scrub (4 % Chlorhexidine) 500 ml</v>
      </c>
      <c r="D563" s="2" t="str">
        <f>INDEX(รายการสาร!$C:$C,MATCH($B563,รายการสาร!$A:$A,0))</f>
        <v>chlorhexidine gluconate</v>
      </c>
      <c r="E563" s="2" t="s">
        <v>703</v>
      </c>
      <c r="F563" s="2" t="s">
        <v>565</v>
      </c>
      <c r="G563" s="3"/>
      <c r="H563" s="3" t="s">
        <v>23</v>
      </c>
      <c r="I563" s="3"/>
      <c r="J563" s="3"/>
      <c r="K563" s="3"/>
      <c r="L563" s="3"/>
      <c r="M563" s="3" t="s">
        <v>23</v>
      </c>
      <c r="N563" s="3" t="s">
        <v>23</v>
      </c>
      <c r="O563" s="3"/>
      <c r="P563" s="3"/>
      <c r="Q563" s="3" t="s">
        <v>23</v>
      </c>
      <c r="R563" s="3" t="s">
        <v>23</v>
      </c>
      <c r="S563" s="3" t="s">
        <v>23</v>
      </c>
      <c r="T563" s="3" t="s">
        <v>23</v>
      </c>
      <c r="U563" s="3"/>
      <c r="V563" s="3"/>
      <c r="W563" s="3" t="s">
        <v>23</v>
      </c>
    </row>
    <row r="564" spans="1:23" ht="27.6" customHeight="1" x14ac:dyDescent="0.25">
      <c r="A564" s="2" t="s">
        <v>96</v>
      </c>
      <c r="B564" s="3" t="s">
        <v>712</v>
      </c>
      <c r="C564" s="2" t="str">
        <f>INDEX(รายการสาร!$B:$B,MATCH($B564,รายการสาร!$A:$A,0))</f>
        <v>Chlorhex 5% 5000 ml</v>
      </c>
      <c r="D564" s="2" t="str">
        <f>INDEX(รายการสาร!$C:$C,MATCH($B564,รายการสาร!$A:$A,0))</f>
        <v>chlorhexidine gluconate</v>
      </c>
      <c r="E564" s="2" t="s">
        <v>412</v>
      </c>
      <c r="F564" s="2" t="s">
        <v>565</v>
      </c>
      <c r="G564" s="3"/>
      <c r="H564" s="3" t="s">
        <v>23</v>
      </c>
      <c r="I564" s="3"/>
      <c r="J564" s="3"/>
      <c r="K564" s="3"/>
      <c r="L564" s="3"/>
      <c r="M564" s="3" t="s">
        <v>23</v>
      </c>
      <c r="N564" s="3" t="s">
        <v>23</v>
      </c>
      <c r="O564" s="3"/>
      <c r="P564" s="3"/>
      <c r="Q564" s="3" t="s">
        <v>23</v>
      </c>
      <c r="R564" s="3" t="s">
        <v>23</v>
      </c>
      <c r="S564" s="3" t="s">
        <v>23</v>
      </c>
      <c r="T564" s="3" t="s">
        <v>23</v>
      </c>
      <c r="U564" s="3"/>
      <c r="V564" s="3"/>
      <c r="W564" s="3" t="s">
        <v>23</v>
      </c>
    </row>
    <row r="565" spans="1:23" ht="27.6" customHeight="1" x14ac:dyDescent="0.25">
      <c r="A565" s="2" t="s">
        <v>96</v>
      </c>
      <c r="B565" s="3" t="s">
        <v>366</v>
      </c>
      <c r="C565" s="2" t="str">
        <f>INDEX(รายการสาร!$B:$B,MATCH($B565,รายการสาร!$A:$A,0))</f>
        <v>Cidex OPA solution</v>
      </c>
      <c r="D565" s="2" t="str">
        <f>INDEX(รายการสาร!$C:$C,MATCH($B565,รายการสาร!$A:$A,0))</f>
        <v>ortho-phthalaldehyde</v>
      </c>
      <c r="E565" s="2" t="s">
        <v>692</v>
      </c>
      <c r="F565" s="2" t="s">
        <v>565</v>
      </c>
      <c r="G565" s="3"/>
      <c r="H565" s="3"/>
      <c r="I565" s="3"/>
      <c r="J565" s="3"/>
      <c r="K565" s="3"/>
      <c r="L565" s="3"/>
      <c r="M565" s="3" t="s">
        <v>23</v>
      </c>
      <c r="N565" s="3"/>
      <c r="O565" s="3"/>
      <c r="P565" s="3"/>
      <c r="Q565" s="3" t="s">
        <v>23</v>
      </c>
      <c r="R565" s="3" t="s">
        <v>23</v>
      </c>
      <c r="S565" s="3" t="s">
        <v>23</v>
      </c>
      <c r="T565" s="3"/>
      <c r="U565" s="3"/>
      <c r="V565" s="3"/>
      <c r="W565" s="3"/>
    </row>
    <row r="566" spans="1:23" ht="27.6" customHeight="1" x14ac:dyDescent="0.25">
      <c r="A566" s="2" t="s">
        <v>96</v>
      </c>
      <c r="B566" s="3" t="s">
        <v>713</v>
      </c>
      <c r="C566" s="2" t="str">
        <f>INDEX(รายการสาร!$B:$B,MATCH($B566,รายการสาร!$A:$A,0))</f>
        <v>Hydrpgen peroxide</v>
      </c>
      <c r="D566" s="2" t="str">
        <f>INDEX(รายการสาร!$C:$C,MATCH($B566,รายการสาร!$A:$A,0))</f>
        <v>hydrogen peroxide</v>
      </c>
      <c r="E566" s="2" t="s">
        <v>410</v>
      </c>
      <c r="F566" s="2" t="s">
        <v>565</v>
      </c>
      <c r="G566" s="3"/>
      <c r="H566" s="3" t="s">
        <v>23</v>
      </c>
      <c r="I566" s="3"/>
      <c r="J566" s="3"/>
      <c r="K566" s="3"/>
      <c r="L566" s="3"/>
      <c r="M566" s="3" t="s">
        <v>23</v>
      </c>
      <c r="N566" s="3"/>
      <c r="O566" s="3" t="s">
        <v>23</v>
      </c>
      <c r="P566" s="3"/>
      <c r="Q566" s="3" t="s">
        <v>23</v>
      </c>
      <c r="R566" s="3"/>
      <c r="S566" s="3"/>
      <c r="T566" s="3"/>
      <c r="U566" s="3"/>
      <c r="V566" s="3"/>
      <c r="W566" s="3" t="s">
        <v>23</v>
      </c>
    </row>
    <row r="567" spans="1:23" x14ac:dyDescent="0.25">
      <c r="A567" s="2" t="s">
        <v>96</v>
      </c>
      <c r="B567" s="3" t="s">
        <v>714</v>
      </c>
      <c r="C567" s="2" t="str">
        <f>INDEX(รายการสาร!$B:$B,MATCH($B567,รายการสาร!$A:$A,0))</f>
        <v>40 %Formalin solution 450 ml</v>
      </c>
      <c r="D567" s="2" t="str">
        <f>INDEX(รายการสาร!$C:$C,MATCH($B567,รายการสาร!$A:$A,0))</f>
        <v>Formaldehyde</v>
      </c>
      <c r="E567" s="2" t="s">
        <v>715</v>
      </c>
      <c r="F567" s="2" t="s">
        <v>565</v>
      </c>
      <c r="G567" s="3"/>
      <c r="H567" s="3"/>
      <c r="I567" s="3"/>
      <c r="J567" s="3" t="s">
        <v>23</v>
      </c>
      <c r="K567" s="3" t="s">
        <v>23</v>
      </c>
      <c r="L567" s="3"/>
      <c r="M567" s="3" t="s">
        <v>23</v>
      </c>
      <c r="N567" s="3"/>
      <c r="O567" s="3"/>
      <c r="P567" s="3"/>
      <c r="Q567" s="3" t="s">
        <v>23</v>
      </c>
      <c r="R567" s="3" t="s">
        <v>23</v>
      </c>
      <c r="S567" s="3" t="s">
        <v>23</v>
      </c>
      <c r="T567" s="3" t="s">
        <v>23</v>
      </c>
      <c r="U567" s="3"/>
      <c r="V567" s="3"/>
      <c r="W567" s="3"/>
    </row>
    <row r="568" spans="1:23" ht="27.6" customHeight="1" x14ac:dyDescent="0.25">
      <c r="A568" s="2" t="s">
        <v>96</v>
      </c>
      <c r="B568" s="3" t="s">
        <v>711</v>
      </c>
      <c r="C568" s="2" t="str">
        <f>INDEX(รายการสาร!$B:$B,MATCH($B568,รายการสาร!$A:$A,0))</f>
        <v>Hexene (4 % Chlorhexidine solution) 500 ml</v>
      </c>
      <c r="D568" s="2" t="str">
        <f>INDEX(รายการสาร!$C:$C,MATCH($B568,รายการสาร!$A:$A,0))</f>
        <v>chlorhexidine gluconate</v>
      </c>
      <c r="E568" s="2" t="s">
        <v>716</v>
      </c>
      <c r="F568" s="2" t="s">
        <v>565</v>
      </c>
      <c r="G568" s="3"/>
      <c r="H568" s="3" t="s">
        <v>23</v>
      </c>
      <c r="I568" s="3"/>
      <c r="J568" s="3" t="s">
        <v>23</v>
      </c>
      <c r="K568" s="3"/>
      <c r="L568" s="3"/>
      <c r="M568" s="3" t="s">
        <v>23</v>
      </c>
      <c r="N568" s="3" t="s">
        <v>23</v>
      </c>
      <c r="O568" s="3"/>
      <c r="P568" s="3"/>
      <c r="Q568" s="3" t="s">
        <v>23</v>
      </c>
      <c r="R568" s="3" t="s">
        <v>23</v>
      </c>
      <c r="S568" s="3" t="s">
        <v>23</v>
      </c>
      <c r="T568" s="3" t="s">
        <v>23</v>
      </c>
      <c r="U568" s="3"/>
      <c r="V568" s="3"/>
      <c r="W568" s="3" t="s">
        <v>23</v>
      </c>
    </row>
    <row r="569" spans="1:23" ht="27.6" customHeight="1" x14ac:dyDescent="0.25">
      <c r="A569" s="2" t="s">
        <v>96</v>
      </c>
      <c r="B569" s="3" t="s">
        <v>358</v>
      </c>
      <c r="C569" s="2" t="str">
        <f>INDEX(รายการสาร!$B:$B,MATCH($B569,รายการสาร!$A:$A,0))</f>
        <v>Hydrex scrub (4 % Chlorhexidine) 500 ml</v>
      </c>
      <c r="D569" s="2" t="str">
        <f>INDEX(รายการสาร!$C:$C,MATCH($B569,รายการสาร!$A:$A,0))</f>
        <v>chlorhexidine gluconate</v>
      </c>
      <c r="E569" s="2" t="s">
        <v>716</v>
      </c>
      <c r="F569" s="2" t="s">
        <v>565</v>
      </c>
      <c r="G569" s="3"/>
      <c r="H569" s="3" t="s">
        <v>23</v>
      </c>
      <c r="I569" s="3"/>
      <c r="J569" s="3"/>
      <c r="K569" s="3"/>
      <c r="L569" s="3"/>
      <c r="M569" s="3" t="s">
        <v>23</v>
      </c>
      <c r="N569" s="3" t="s">
        <v>23</v>
      </c>
      <c r="O569" s="3"/>
      <c r="P569" s="3"/>
      <c r="Q569" s="3" t="s">
        <v>23</v>
      </c>
      <c r="R569" s="3" t="s">
        <v>23</v>
      </c>
      <c r="S569" s="3" t="s">
        <v>23</v>
      </c>
      <c r="T569" s="3" t="s">
        <v>23</v>
      </c>
      <c r="U569" s="3"/>
      <c r="V569" s="3"/>
      <c r="W569" s="3" t="s">
        <v>23</v>
      </c>
    </row>
    <row r="570" spans="1:23" ht="27.6" customHeight="1" x14ac:dyDescent="0.25">
      <c r="A570" s="2" t="s">
        <v>96</v>
      </c>
      <c r="B570" s="3" t="s">
        <v>712</v>
      </c>
      <c r="C570" s="2" t="str">
        <f>INDEX(รายการสาร!$B:$B,MATCH($B570,รายการสาร!$A:$A,0))</f>
        <v>Chlorhex 5% 5000 ml</v>
      </c>
      <c r="D570" s="2" t="str">
        <f>INDEX(รายการสาร!$C:$C,MATCH($B570,รายการสาร!$A:$A,0))</f>
        <v>chlorhexidine gluconate</v>
      </c>
      <c r="E570" s="2" t="s">
        <v>394</v>
      </c>
      <c r="F570" s="2" t="s">
        <v>565</v>
      </c>
      <c r="G570" s="3"/>
      <c r="H570" s="3" t="s">
        <v>23</v>
      </c>
      <c r="I570" s="3"/>
      <c r="J570" s="3"/>
      <c r="K570" s="3"/>
      <c r="L570" s="3"/>
      <c r="M570" s="3" t="s">
        <v>23</v>
      </c>
      <c r="N570" s="3" t="s">
        <v>23</v>
      </c>
      <c r="O570" s="3"/>
      <c r="P570" s="3"/>
      <c r="Q570" s="3" t="s">
        <v>23</v>
      </c>
      <c r="R570" s="3" t="s">
        <v>23</v>
      </c>
      <c r="S570" s="3" t="s">
        <v>23</v>
      </c>
      <c r="T570" s="3" t="s">
        <v>23</v>
      </c>
      <c r="U570" s="3"/>
      <c r="V570" s="3"/>
      <c r="W570" s="3" t="s">
        <v>23</v>
      </c>
    </row>
    <row r="571" spans="1:23" ht="27.6" customHeight="1" x14ac:dyDescent="0.25">
      <c r="A571" s="2" t="s">
        <v>96</v>
      </c>
      <c r="B571" s="3" t="s">
        <v>366</v>
      </c>
      <c r="C571" s="2" t="str">
        <f>INDEX(รายการสาร!$B:$B,MATCH($B571,รายการสาร!$A:$A,0))</f>
        <v>Cidex OPA solution</v>
      </c>
      <c r="D571" s="2" t="str">
        <f>INDEX(รายการสาร!$C:$C,MATCH($B571,รายการสาร!$A:$A,0))</f>
        <v>ortho-phthalaldehyde</v>
      </c>
      <c r="E571" s="2" t="s">
        <v>410</v>
      </c>
      <c r="F571" s="2" t="s">
        <v>565</v>
      </c>
      <c r="G571" s="3"/>
      <c r="H571" s="3"/>
      <c r="I571" s="3"/>
      <c r="J571" s="3"/>
      <c r="K571" s="3"/>
      <c r="L571" s="3"/>
      <c r="M571" s="3" t="s">
        <v>23</v>
      </c>
      <c r="N571" s="3"/>
      <c r="O571" s="3"/>
      <c r="P571" s="3"/>
      <c r="Q571" s="3" t="s">
        <v>23</v>
      </c>
      <c r="R571" s="3" t="s">
        <v>23</v>
      </c>
      <c r="S571" s="3" t="s">
        <v>23</v>
      </c>
      <c r="T571" s="3"/>
      <c r="U571" s="3"/>
      <c r="V571" s="3"/>
      <c r="W571" s="3"/>
    </row>
    <row r="572" spans="1:23" ht="27.6" customHeight="1" x14ac:dyDescent="0.25">
      <c r="A572" s="2" t="s">
        <v>96</v>
      </c>
      <c r="B572" s="3" t="s">
        <v>713</v>
      </c>
      <c r="C572" s="2" t="str">
        <f>INDEX(รายการสาร!$B:$B,MATCH($B572,รายการสาร!$A:$A,0))</f>
        <v>Hydrpgen peroxide</v>
      </c>
      <c r="D572" s="2" t="str">
        <f>INDEX(รายการสาร!$C:$C,MATCH($B572,รายการสาร!$A:$A,0))</f>
        <v>hydrogen peroxide</v>
      </c>
      <c r="E572" s="2" t="s">
        <v>386</v>
      </c>
      <c r="F572" s="2" t="s">
        <v>565</v>
      </c>
      <c r="G572" s="3"/>
      <c r="H572" s="3" t="s">
        <v>23</v>
      </c>
      <c r="I572" s="3"/>
      <c r="J572" s="3"/>
      <c r="K572" s="3"/>
      <c r="L572" s="3"/>
      <c r="M572" s="3" t="s">
        <v>23</v>
      </c>
      <c r="N572" s="3"/>
      <c r="O572" s="3" t="s">
        <v>23</v>
      </c>
      <c r="P572" s="3"/>
      <c r="Q572" s="3" t="s">
        <v>23</v>
      </c>
      <c r="R572" s="3"/>
      <c r="S572" s="3"/>
      <c r="T572" s="3"/>
      <c r="U572" s="3"/>
      <c r="V572" s="3"/>
      <c r="W572" s="3" t="s">
        <v>23</v>
      </c>
    </row>
    <row r="573" spans="1:23" x14ac:dyDescent="0.25">
      <c r="A573" s="2" t="s">
        <v>96</v>
      </c>
      <c r="B573" s="3" t="s">
        <v>714</v>
      </c>
      <c r="C573" s="2" t="str">
        <f>INDEX(รายการสาร!$B:$B,MATCH($B573,รายการสาร!$A:$A,0))</f>
        <v>40 %Formalin solution 450 ml</v>
      </c>
      <c r="D573" s="2" t="str">
        <f>INDEX(รายการสาร!$C:$C,MATCH($B573,รายการสาร!$A:$A,0))</f>
        <v>Formaldehyde</v>
      </c>
      <c r="E573" s="2" t="s">
        <v>717</v>
      </c>
      <c r="F573" s="2" t="s">
        <v>565</v>
      </c>
      <c r="G573" s="3"/>
      <c r="H573" s="3"/>
      <c r="I573" s="3"/>
      <c r="J573" s="3" t="s">
        <v>23</v>
      </c>
      <c r="K573" s="3" t="s">
        <v>23</v>
      </c>
      <c r="L573" s="3"/>
      <c r="M573" s="3" t="s">
        <v>23</v>
      </c>
      <c r="N573" s="3"/>
      <c r="O573" s="3"/>
      <c r="P573" s="3"/>
      <c r="Q573" s="3" t="s">
        <v>23</v>
      </c>
      <c r="R573" s="3" t="s">
        <v>23</v>
      </c>
      <c r="S573" s="3" t="s">
        <v>23</v>
      </c>
      <c r="T573" s="3" t="s">
        <v>23</v>
      </c>
      <c r="U573" s="3"/>
      <c r="V573" s="3"/>
      <c r="W573" s="3"/>
    </row>
    <row r="574" spans="1:23" ht="41.4" customHeight="1" x14ac:dyDescent="0.25">
      <c r="A574" s="2" t="s">
        <v>718</v>
      </c>
      <c r="B574" s="3" t="s">
        <v>113</v>
      </c>
      <c r="C574" s="2" t="str">
        <f>INDEX(รายการสาร!$B:$B,MATCH($B574,รายการสาร!$A:$A,0))</f>
        <v>น้ำยาล้างจาน</v>
      </c>
      <c r="D574" s="2" t="str">
        <f>INDEX(รายการสาร!$C:$C,MATCH($B574,รายการสาร!$A:$A,0))</f>
        <v>ไลปอนเอฟ หรือ มาวิน หรือ ซันไลต์</v>
      </c>
      <c r="E574" s="2" t="s">
        <v>509</v>
      </c>
      <c r="F574" s="2" t="s">
        <v>103</v>
      </c>
      <c r="G574" s="3"/>
      <c r="H574" s="3"/>
      <c r="I574" s="3"/>
      <c r="J574" s="3"/>
      <c r="K574" s="3"/>
      <c r="L574" s="3"/>
      <c r="M574" s="3"/>
      <c r="N574" s="3"/>
      <c r="O574" s="3" t="s">
        <v>23</v>
      </c>
      <c r="P574" s="3"/>
      <c r="Q574" s="3"/>
      <c r="R574" s="3"/>
      <c r="S574" s="3"/>
      <c r="T574" s="3"/>
      <c r="U574" s="3"/>
      <c r="V574" s="3"/>
      <c r="W574" s="3"/>
    </row>
    <row r="575" spans="1:23" x14ac:dyDescent="0.25">
      <c r="A575" s="2" t="s">
        <v>100</v>
      </c>
      <c r="B575" s="3" t="s">
        <v>691</v>
      </c>
      <c r="C575" s="2" t="str">
        <f>INDEX(รายการสาร!$B:$B,MATCH($B575,รายการสาร!$A:$A,0))</f>
        <v>ACETONE (450 ml)</v>
      </c>
      <c r="D575" s="2" t="str">
        <f>INDEX(รายการสาร!$C:$C,MATCH($B575,รายการสาร!$A:$A,0))</f>
        <v>Acetone</v>
      </c>
      <c r="E575" s="2" t="s">
        <v>692</v>
      </c>
      <c r="F575" s="2" t="s">
        <v>719</v>
      </c>
      <c r="G575" s="3"/>
      <c r="H575" s="3" t="s">
        <v>23</v>
      </c>
      <c r="I575" s="3"/>
      <c r="J575" s="3"/>
      <c r="K575" s="3"/>
      <c r="L575" s="3"/>
      <c r="M575" s="3" t="s">
        <v>23</v>
      </c>
      <c r="N575" s="3"/>
      <c r="O575" s="3" t="s">
        <v>23</v>
      </c>
      <c r="P575" s="3"/>
      <c r="Q575" s="3" t="s">
        <v>23</v>
      </c>
      <c r="R575" s="3" t="s">
        <v>23</v>
      </c>
      <c r="S575" s="3"/>
      <c r="T575" s="3"/>
      <c r="U575" s="3"/>
      <c r="V575" s="3"/>
      <c r="W575" s="3" t="s">
        <v>23</v>
      </c>
    </row>
    <row r="576" spans="1:23" x14ac:dyDescent="0.25">
      <c r="A576" s="2" t="s">
        <v>100</v>
      </c>
      <c r="B576" s="3" t="s">
        <v>693</v>
      </c>
      <c r="C576" s="2" t="str">
        <f>INDEX(รายการสาร!$B:$B,MATCH($B576,รายการสาร!$A:$A,0))</f>
        <v>ALCOHOL PAD.</v>
      </c>
      <c r="D576" s="2" t="str">
        <f>INDEX(รายการสาร!$C:$C,MATCH($B576,รายการสาร!$A:$A,0))</f>
        <v>Neoplast</v>
      </c>
      <c r="E576" s="2" t="s">
        <v>694</v>
      </c>
      <c r="F576" s="2" t="s">
        <v>720</v>
      </c>
      <c r="G576" s="3"/>
      <c r="H576" s="3" t="s">
        <v>23</v>
      </c>
      <c r="I576" s="3"/>
      <c r="J576" s="3"/>
      <c r="K576" s="3"/>
      <c r="L576" s="3"/>
      <c r="M576" s="3"/>
      <c r="N576" s="3"/>
      <c r="O576" s="3" t="s">
        <v>23</v>
      </c>
      <c r="P576" s="3"/>
      <c r="Q576" s="3" t="s">
        <v>23</v>
      </c>
      <c r="R576" s="3" t="s">
        <v>23</v>
      </c>
      <c r="S576" s="3" t="s">
        <v>23</v>
      </c>
      <c r="T576" s="3" t="s">
        <v>23</v>
      </c>
      <c r="U576" s="3"/>
      <c r="V576" s="3"/>
      <c r="W576" s="3" t="s">
        <v>23</v>
      </c>
    </row>
    <row r="577" spans="1:23" x14ac:dyDescent="0.25">
      <c r="A577" s="2" t="s">
        <v>100</v>
      </c>
      <c r="B577" s="3" t="s">
        <v>695</v>
      </c>
      <c r="C577" s="2" t="str">
        <f>INDEX(รายการสาร!$B:$B,MATCH($B577,รายการสาร!$A:$A,0))</f>
        <v>ALCOHOL 70% (60 ml)</v>
      </c>
      <c r="D577" s="2" t="str">
        <f>INDEX(รายการสาร!$C:$C,MATCH($B577,รายการสาร!$A:$A,0))</f>
        <v>Ethyl alcohol</v>
      </c>
      <c r="E577" s="2" t="s">
        <v>696</v>
      </c>
      <c r="F577" s="2" t="s">
        <v>720</v>
      </c>
      <c r="G577" s="3"/>
      <c r="H577" s="3" t="s">
        <v>23</v>
      </c>
      <c r="I577" s="3"/>
      <c r="J577" s="3"/>
      <c r="K577" s="3"/>
      <c r="L577" s="3"/>
      <c r="M577" s="3"/>
      <c r="N577" s="3"/>
      <c r="O577" s="3" t="s">
        <v>23</v>
      </c>
      <c r="P577" s="3"/>
      <c r="Q577" s="3" t="s">
        <v>23</v>
      </c>
      <c r="R577" s="3" t="s">
        <v>23</v>
      </c>
      <c r="S577" s="3" t="s">
        <v>23</v>
      </c>
      <c r="T577" s="3" t="s">
        <v>23</v>
      </c>
      <c r="U577" s="3"/>
      <c r="V577" s="3"/>
      <c r="W577" s="3" t="s">
        <v>23</v>
      </c>
    </row>
    <row r="578" spans="1:23" x14ac:dyDescent="0.25">
      <c r="A578" s="2" t="s">
        <v>100</v>
      </c>
      <c r="B578" s="3" t="s">
        <v>721</v>
      </c>
      <c r="C578" s="2" t="str">
        <f>INDEX(รายการสาร!$B:$B,MATCH($B578,รายการสาร!$A:$A,0))</f>
        <v>ALCOHOL 70% (180 ml).</v>
      </c>
      <c r="D578" s="2" t="str">
        <f>INDEX(รายการสาร!$C:$C,MATCH($B578,รายการสาร!$A:$A,0))</f>
        <v>Ethyl alcohol</v>
      </c>
      <c r="E578" s="2" t="s">
        <v>722</v>
      </c>
      <c r="F578" s="2" t="s">
        <v>720</v>
      </c>
      <c r="G578" s="3"/>
      <c r="H578" s="3" t="s">
        <v>23</v>
      </c>
      <c r="I578" s="3"/>
      <c r="J578" s="3"/>
      <c r="K578" s="3"/>
      <c r="L578" s="3"/>
      <c r="M578" s="3"/>
      <c r="N578" s="3"/>
      <c r="O578" s="3" t="s">
        <v>23</v>
      </c>
      <c r="P578" s="3"/>
      <c r="Q578" s="3" t="s">
        <v>23</v>
      </c>
      <c r="R578" s="3" t="s">
        <v>23</v>
      </c>
      <c r="S578" s="3" t="s">
        <v>23</v>
      </c>
      <c r="T578" s="3" t="s">
        <v>23</v>
      </c>
      <c r="U578" s="3"/>
      <c r="V578" s="3"/>
      <c r="W578" s="3" t="s">
        <v>23</v>
      </c>
    </row>
    <row r="579" spans="1:23" x14ac:dyDescent="0.25">
      <c r="A579" s="2" t="s">
        <v>100</v>
      </c>
      <c r="B579" s="3" t="s">
        <v>369</v>
      </c>
      <c r="C579" s="2" t="str">
        <f>INDEX(รายการสาร!$B:$B,MATCH($B579,รายการสาร!$A:$A,0))</f>
        <v>ALCOHOL 70% (1,000 ml).</v>
      </c>
      <c r="D579" s="2" t="str">
        <f>INDEX(รายการสาร!$C:$C,MATCH($B579,รายการสาร!$A:$A,0))</f>
        <v>Ethyl alcohol</v>
      </c>
      <c r="E579" s="2" t="s">
        <v>723</v>
      </c>
      <c r="F579" s="2" t="s">
        <v>720</v>
      </c>
      <c r="G579" s="3"/>
      <c r="H579" s="3" t="s">
        <v>23</v>
      </c>
      <c r="I579" s="3"/>
      <c r="J579" s="3"/>
      <c r="K579" s="3"/>
      <c r="L579" s="3"/>
      <c r="M579" s="3"/>
      <c r="N579" s="3"/>
      <c r="O579" s="3" t="s">
        <v>23</v>
      </c>
      <c r="P579" s="3"/>
      <c r="Q579" s="3" t="s">
        <v>23</v>
      </c>
      <c r="R579" s="3" t="s">
        <v>23</v>
      </c>
      <c r="S579" s="3" t="s">
        <v>23</v>
      </c>
      <c r="T579" s="3" t="s">
        <v>23</v>
      </c>
      <c r="U579" s="3"/>
      <c r="V579" s="3"/>
      <c r="W579" s="3" t="s">
        <v>23</v>
      </c>
    </row>
    <row r="580" spans="1:23" x14ac:dyDescent="0.25">
      <c r="A580" s="2" t="s">
        <v>100</v>
      </c>
      <c r="B580" s="3" t="s">
        <v>698</v>
      </c>
      <c r="C580" s="2" t="str">
        <f>INDEX(รายการสาร!$B:$B,MATCH($B580,รายการสาร!$A:$A,0))</f>
        <v>ALCOHOL 95% (450 ml).</v>
      </c>
      <c r="D580" s="2" t="str">
        <f>INDEX(รายการสาร!$C:$C,MATCH($B580,รายการสาร!$A:$A,0))</f>
        <v>Ethyl alcohol</v>
      </c>
      <c r="E580" s="2" t="s">
        <v>386</v>
      </c>
      <c r="F580" s="2" t="s">
        <v>720</v>
      </c>
      <c r="G580" s="3"/>
      <c r="H580" s="3" t="s">
        <v>23</v>
      </c>
      <c r="I580" s="3"/>
      <c r="J580" s="3"/>
      <c r="K580" s="3"/>
      <c r="L580" s="3"/>
      <c r="M580" s="3"/>
      <c r="N580" s="3"/>
      <c r="O580" s="3" t="s">
        <v>23</v>
      </c>
      <c r="P580" s="3"/>
      <c r="Q580" s="3" t="s">
        <v>23</v>
      </c>
      <c r="R580" s="3" t="s">
        <v>23</v>
      </c>
      <c r="S580" s="3" t="s">
        <v>23</v>
      </c>
      <c r="T580" s="3" t="s">
        <v>23</v>
      </c>
      <c r="U580" s="3"/>
      <c r="V580" s="3"/>
      <c r="W580" s="3" t="s">
        <v>23</v>
      </c>
    </row>
    <row r="581" spans="1:23" ht="27.6" customHeight="1" x14ac:dyDescent="0.25">
      <c r="A581" s="2" t="s">
        <v>100</v>
      </c>
      <c r="B581" s="3" t="s">
        <v>724</v>
      </c>
      <c r="C581" s="2" t="str">
        <f>INDEX(รายการสาร!$B:$B,MATCH($B581,รายการสาร!$A:$A,0))</f>
        <v>Alcohol hand spray 1000 ml 75 %</v>
      </c>
      <c r="D581" s="2" t="str">
        <f>INDEX(รายการสาร!$C:$C,MATCH($B581,รายการสาร!$A:$A,0))</f>
        <v>smart care hand spray</v>
      </c>
      <c r="E581" s="2" t="s">
        <v>386</v>
      </c>
      <c r="F581" s="2" t="s">
        <v>720</v>
      </c>
      <c r="G581" s="3"/>
      <c r="H581" s="3" t="s">
        <v>23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 t="s">
        <v>23</v>
      </c>
    </row>
    <row r="582" spans="1:23" x14ac:dyDescent="0.25">
      <c r="A582" s="2" t="s">
        <v>100</v>
      </c>
      <c r="B582" s="3" t="s">
        <v>725</v>
      </c>
      <c r="C582" s="2" t="str">
        <f>INDEX(รายการสาร!$B:$B,MATCH($B582,รายการสาร!$A:$A,0))</f>
        <v>ALCOHOL HAND GEL ( 120 ml with Pump).</v>
      </c>
      <c r="D582" s="2" t="str">
        <f>INDEX(รายการสาร!$C:$C,MATCH($B582,รายการสาร!$A:$A,0))</f>
        <v>Clear Hand Gel</v>
      </c>
      <c r="E582" s="2" t="s">
        <v>726</v>
      </c>
      <c r="F582" s="2" t="s">
        <v>720</v>
      </c>
      <c r="G582" s="3"/>
      <c r="H582" s="3" t="s">
        <v>23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 t="s">
        <v>23</v>
      </c>
    </row>
    <row r="583" spans="1:23" x14ac:dyDescent="0.25">
      <c r="A583" s="2" t="s">
        <v>100</v>
      </c>
      <c r="B583" s="3" t="s">
        <v>727</v>
      </c>
      <c r="C583" s="2" t="str">
        <f>INDEX(รายการสาร!$B:$B,MATCH($B583,รายการสาร!$A:$A,0))</f>
        <v>ALCOHOL HAND GEL ( 300 ml with Pump).</v>
      </c>
      <c r="D583" s="2" t="str">
        <f>INDEX(รายการสาร!$C:$C,MATCH($B583,รายการสาร!$A:$A,0))</f>
        <v>Clear Hand Gel</v>
      </c>
      <c r="E583" s="2" t="s">
        <v>386</v>
      </c>
      <c r="F583" s="2" t="s">
        <v>720</v>
      </c>
      <c r="G583" s="3"/>
      <c r="H583" s="3" t="s">
        <v>23</v>
      </c>
      <c r="I583" s="3"/>
      <c r="J583" s="3"/>
      <c r="K583" s="3"/>
      <c r="L583" s="3"/>
      <c r="M583" s="3"/>
      <c r="N583" s="3"/>
      <c r="O583" s="3"/>
      <c r="P583" s="3"/>
      <c r="Q583" s="3" t="s">
        <v>23</v>
      </c>
      <c r="R583" s="3"/>
      <c r="S583" s="3"/>
      <c r="T583" s="3"/>
      <c r="U583" s="3"/>
      <c r="V583" s="3"/>
      <c r="W583" s="3" t="s">
        <v>23</v>
      </c>
    </row>
    <row r="584" spans="1:23" x14ac:dyDescent="0.25">
      <c r="A584" s="2" t="s">
        <v>100</v>
      </c>
      <c r="B584" s="3" t="s">
        <v>728</v>
      </c>
      <c r="C584" s="2" t="str">
        <f>INDEX(รายการสาร!$B:$B,MATCH($B584,รายการสาร!$A:$A,0))</f>
        <v>Betadine solution 120 ml</v>
      </c>
      <c r="D584" s="2" t="str">
        <f>INDEX(รายการสาร!$C:$C,MATCH($B584,รายการสาร!$A:$A,0))</f>
        <v>povidone iodine</v>
      </c>
      <c r="E584" s="2" t="s">
        <v>729</v>
      </c>
      <c r="F584" s="2" t="s">
        <v>720</v>
      </c>
      <c r="G584" s="3"/>
      <c r="H584" s="3" t="s">
        <v>23</v>
      </c>
      <c r="I584" s="3"/>
      <c r="J584" s="3"/>
      <c r="K584" s="3"/>
      <c r="L584" s="3"/>
      <c r="M584" s="3" t="s">
        <v>23</v>
      </c>
      <c r="N584" s="3"/>
      <c r="O584" s="3" t="s">
        <v>23</v>
      </c>
      <c r="P584" s="3"/>
      <c r="Q584" s="3" t="s">
        <v>23</v>
      </c>
      <c r="R584" s="3" t="s">
        <v>23</v>
      </c>
      <c r="S584" s="3" t="s">
        <v>23</v>
      </c>
      <c r="T584" s="3" t="s">
        <v>23</v>
      </c>
      <c r="U584" s="3"/>
      <c r="V584" s="3"/>
      <c r="W584" s="3" t="s">
        <v>23</v>
      </c>
    </row>
    <row r="585" spans="1:23" x14ac:dyDescent="0.25">
      <c r="A585" s="2" t="s">
        <v>100</v>
      </c>
      <c r="B585" s="3" t="s">
        <v>97</v>
      </c>
      <c r="C585" s="2" t="str">
        <f>INDEX(รายการสาร!$B:$B,MATCH($B585,รายการสาร!$A:$A,0))</f>
        <v>Betadine solution 500 ml</v>
      </c>
      <c r="D585" s="2" t="str">
        <f>INDEX(รายการสาร!$C:$C,MATCH($B585,รายการสาร!$A:$A,0))</f>
        <v>povidone iodine</v>
      </c>
      <c r="E585" s="2" t="s">
        <v>386</v>
      </c>
      <c r="F585" s="2" t="s">
        <v>720</v>
      </c>
      <c r="G585" s="3"/>
      <c r="H585" s="3" t="s">
        <v>23</v>
      </c>
      <c r="I585" s="3"/>
      <c r="J585" s="3"/>
      <c r="K585" s="3"/>
      <c r="L585" s="3"/>
      <c r="M585" s="3" t="s">
        <v>23</v>
      </c>
      <c r="N585" s="3"/>
      <c r="O585" s="3" t="s">
        <v>23</v>
      </c>
      <c r="P585" s="3"/>
      <c r="Q585" s="3" t="s">
        <v>23</v>
      </c>
      <c r="R585" s="3" t="s">
        <v>23</v>
      </c>
      <c r="S585" s="3" t="s">
        <v>23</v>
      </c>
      <c r="T585" s="3" t="s">
        <v>23</v>
      </c>
      <c r="U585" s="3"/>
      <c r="V585" s="3"/>
      <c r="W585" s="3" t="s">
        <v>23</v>
      </c>
    </row>
    <row r="586" spans="1:23" x14ac:dyDescent="0.25">
      <c r="A586" s="2" t="s">
        <v>100</v>
      </c>
      <c r="B586" s="3" t="s">
        <v>101</v>
      </c>
      <c r="C586" s="2" t="str">
        <f>INDEX(รายการสาร!$B:$B,MATCH($B586,รายการสาร!$A:$A,0))</f>
        <v>Betadine scrub 500 ml</v>
      </c>
      <c r="D586" s="2" t="str">
        <f>INDEX(รายการสาร!$C:$C,MATCH($B586,รายการสาร!$A:$A,0))</f>
        <v>povidone iodine</v>
      </c>
      <c r="E586" s="2" t="s">
        <v>386</v>
      </c>
      <c r="F586" s="2" t="s">
        <v>720</v>
      </c>
      <c r="G586" s="3"/>
      <c r="H586" s="3" t="s">
        <v>23</v>
      </c>
      <c r="I586" s="3"/>
      <c r="J586" s="3"/>
      <c r="K586" s="3"/>
      <c r="L586" s="3"/>
      <c r="M586" s="3" t="s">
        <v>23</v>
      </c>
      <c r="N586" s="3"/>
      <c r="O586" s="3" t="s">
        <v>23</v>
      </c>
      <c r="P586" s="3"/>
      <c r="Q586" s="3" t="s">
        <v>23</v>
      </c>
      <c r="R586" s="3" t="s">
        <v>23</v>
      </c>
      <c r="S586" s="3" t="s">
        <v>23</v>
      </c>
      <c r="T586" s="3" t="s">
        <v>23</v>
      </c>
      <c r="U586" s="3"/>
      <c r="V586" s="3"/>
      <c r="W586" s="3" t="s">
        <v>23</v>
      </c>
    </row>
    <row r="587" spans="1:23" x14ac:dyDescent="0.25">
      <c r="A587" s="2" t="s">
        <v>100</v>
      </c>
      <c r="B587" s="3" t="s">
        <v>730</v>
      </c>
      <c r="C587" s="2" t="str">
        <f>INDEX(รายการสาร!$B:$B,MATCH($B587,รายการสาร!$A:$A,0))</f>
        <v>citric acid 450 g</v>
      </c>
      <c r="D587" s="2" t="str">
        <f>INDEX(รายการสาร!$C:$C,MATCH($B587,รายการสาร!$A:$A,0))</f>
        <v>citric acid</v>
      </c>
      <c r="E587" s="2" t="s">
        <v>383</v>
      </c>
      <c r="F587" s="2" t="s">
        <v>731</v>
      </c>
      <c r="G587" s="3"/>
      <c r="H587" s="3"/>
      <c r="I587" s="3"/>
      <c r="J587" s="3"/>
      <c r="K587" s="3" t="s">
        <v>23</v>
      </c>
      <c r="L587" s="3"/>
      <c r="M587" s="3"/>
      <c r="N587" s="3"/>
      <c r="O587" s="3"/>
      <c r="P587" s="3"/>
      <c r="Q587" s="3" t="s">
        <v>23</v>
      </c>
      <c r="R587" s="3" t="s">
        <v>23</v>
      </c>
      <c r="S587" s="3" t="s">
        <v>23</v>
      </c>
      <c r="T587" s="3" t="s">
        <v>23</v>
      </c>
      <c r="U587" s="3"/>
      <c r="V587" s="3"/>
      <c r="W587" s="3"/>
    </row>
    <row r="588" spans="1:23" ht="27.6" customHeight="1" x14ac:dyDescent="0.25">
      <c r="A588" s="2" t="s">
        <v>100</v>
      </c>
      <c r="B588" s="3" t="s">
        <v>732</v>
      </c>
      <c r="C588" s="2" t="str">
        <f>INDEX(รายการสาร!$B:$B,MATCH($B588,รายการสาร!$A:$A,0))</f>
        <v>2 % Chlorhexidine in 70 % alcohol 30 ml</v>
      </c>
      <c r="D588" s="2" t="str">
        <f>INDEX(รายการสาร!$C:$C,MATCH($B588,รายการสาร!$A:$A,0))</f>
        <v>chlorhexidine gluconate</v>
      </c>
      <c r="E588" s="2" t="s">
        <v>716</v>
      </c>
      <c r="F588" s="2" t="s">
        <v>720</v>
      </c>
      <c r="G588" s="3"/>
      <c r="H588" s="3" t="s">
        <v>23</v>
      </c>
      <c r="I588" s="3"/>
      <c r="J588" s="3" t="s">
        <v>23</v>
      </c>
      <c r="K588" s="3" t="s">
        <v>23</v>
      </c>
      <c r="L588" s="3"/>
      <c r="M588" s="3" t="s">
        <v>23</v>
      </c>
      <c r="N588" s="3"/>
      <c r="O588" s="3" t="s">
        <v>23</v>
      </c>
      <c r="P588" s="3"/>
      <c r="Q588" s="3" t="s">
        <v>23</v>
      </c>
      <c r="R588" s="3" t="s">
        <v>23</v>
      </c>
      <c r="S588" s="3" t="s">
        <v>23</v>
      </c>
      <c r="T588" s="3"/>
      <c r="U588" s="3"/>
      <c r="V588" s="3"/>
      <c r="W588" s="3" t="s">
        <v>23</v>
      </c>
    </row>
    <row r="589" spans="1:23" ht="27.6" customHeight="1" x14ac:dyDescent="0.25">
      <c r="A589" s="2" t="s">
        <v>100</v>
      </c>
      <c r="B589" s="3" t="s">
        <v>708</v>
      </c>
      <c r="C589" s="2" t="str">
        <f>INDEX(รายการสาร!$B:$B,MATCH($B589,รายการสาร!$A:$A,0))</f>
        <v>2 % Chlorhexidine in 70 % alcohol 120 ml</v>
      </c>
      <c r="D589" s="2" t="str">
        <f>INDEX(รายการสาร!$C:$C,MATCH($B589,รายการสาร!$A:$A,0))</f>
        <v>chlorhexidine gluconate</v>
      </c>
      <c r="E589" s="2" t="s">
        <v>716</v>
      </c>
      <c r="F589" s="2" t="s">
        <v>720</v>
      </c>
      <c r="G589" s="3"/>
      <c r="H589" s="3" t="s">
        <v>23</v>
      </c>
      <c r="I589" s="3"/>
      <c r="J589" s="3"/>
      <c r="K589" s="3" t="s">
        <v>23</v>
      </c>
      <c r="L589" s="3"/>
      <c r="M589" s="3" t="s">
        <v>23</v>
      </c>
      <c r="N589" s="3" t="s">
        <v>23</v>
      </c>
      <c r="O589" s="3" t="s">
        <v>23</v>
      </c>
      <c r="P589" s="3"/>
      <c r="Q589" s="3" t="s">
        <v>23</v>
      </c>
      <c r="R589" s="3" t="s">
        <v>23</v>
      </c>
      <c r="S589" s="3" t="s">
        <v>23</v>
      </c>
      <c r="T589" s="3"/>
      <c r="U589" s="3"/>
      <c r="V589" s="3"/>
      <c r="W589" s="3" t="s">
        <v>23</v>
      </c>
    </row>
    <row r="590" spans="1:23" ht="27.6" customHeight="1" x14ac:dyDescent="0.25">
      <c r="A590" s="2" t="s">
        <v>100</v>
      </c>
      <c r="B590" s="3" t="s">
        <v>733</v>
      </c>
      <c r="C590" s="2" t="str">
        <f>INDEX(รายการสาร!$B:$B,MATCH($B590,รายการสาร!$A:$A,0))</f>
        <v>2 % Chlorhexidine in 70 % alcohol swab stick</v>
      </c>
      <c r="D590" s="2" t="str">
        <f>INDEX(รายการสาร!$C:$C,MATCH($B590,รายการสาร!$A:$A,0))</f>
        <v>chlorhexidine gluconate</v>
      </c>
      <c r="E590" s="2" t="s">
        <v>734</v>
      </c>
      <c r="F590" s="2" t="s">
        <v>720</v>
      </c>
      <c r="G590" s="3"/>
      <c r="H590" s="3" t="s">
        <v>23</v>
      </c>
      <c r="I590" s="3"/>
      <c r="J590" s="3"/>
      <c r="K590" s="3"/>
      <c r="L590" s="3"/>
      <c r="M590" s="3" t="s">
        <v>23</v>
      </c>
      <c r="N590" s="3" t="s">
        <v>23</v>
      </c>
      <c r="O590" s="3" t="s">
        <v>23</v>
      </c>
      <c r="P590" s="3"/>
      <c r="Q590" s="3" t="s">
        <v>23</v>
      </c>
      <c r="R590" s="3" t="s">
        <v>23</v>
      </c>
      <c r="S590" s="3" t="s">
        <v>23</v>
      </c>
      <c r="T590" s="3"/>
      <c r="U590" s="3"/>
      <c r="V590" s="3"/>
      <c r="W590" s="3" t="s">
        <v>23</v>
      </c>
    </row>
    <row r="591" spans="1:23" ht="27.6" customHeight="1" x14ac:dyDescent="0.25">
      <c r="A591" s="2" t="s">
        <v>100</v>
      </c>
      <c r="B591" s="3" t="s">
        <v>735</v>
      </c>
      <c r="C591" s="2" t="str">
        <f>INDEX(รายการสาร!$B:$B,MATCH($B591,รายการสาร!$A:$A,0))</f>
        <v>4 % Chlorhexidine solution 1000 ml</v>
      </c>
      <c r="D591" s="2" t="str">
        <f>INDEX(รายการสาร!$C:$C,MATCH($B591,รายการสาร!$A:$A,0))</f>
        <v>chlorhexidine gluconate</v>
      </c>
      <c r="E591" s="2" t="s">
        <v>394</v>
      </c>
      <c r="F591" s="2" t="s">
        <v>720</v>
      </c>
      <c r="G591" s="3"/>
      <c r="H591" s="3" t="s">
        <v>23</v>
      </c>
      <c r="I591" s="3"/>
      <c r="J591" s="3"/>
      <c r="K591" s="3" t="s">
        <v>23</v>
      </c>
      <c r="L591" s="3"/>
      <c r="M591" s="3" t="s">
        <v>23</v>
      </c>
      <c r="N591" s="3" t="s">
        <v>23</v>
      </c>
      <c r="O591" s="3" t="s">
        <v>23</v>
      </c>
      <c r="P591" s="3"/>
      <c r="Q591" s="3" t="s">
        <v>23</v>
      </c>
      <c r="R591" s="3" t="s">
        <v>23</v>
      </c>
      <c r="S591" s="3" t="s">
        <v>23</v>
      </c>
      <c r="T591" s="3"/>
      <c r="U591" s="3"/>
      <c r="V591" s="3"/>
      <c r="W591" s="3" t="s">
        <v>23</v>
      </c>
    </row>
    <row r="592" spans="1:23" ht="27.6" customHeight="1" x14ac:dyDescent="0.25">
      <c r="A592" s="2" t="s">
        <v>100</v>
      </c>
      <c r="B592" s="3" t="s">
        <v>710</v>
      </c>
      <c r="C592" s="2" t="str">
        <f>INDEX(รายการสาร!$B:$B,MATCH($B592,รายการสาร!$A:$A,0))</f>
        <v>Hexene (4 % Chlorhexidine solution) 100 ml</v>
      </c>
      <c r="D592" s="2" t="str">
        <f>INDEX(รายการสาร!$C:$C,MATCH($B592,รายการสาร!$A:$A,0))</f>
        <v>chlorhexidine gluconate</v>
      </c>
      <c r="E592" s="2" t="s">
        <v>716</v>
      </c>
      <c r="F592" s="2" t="s">
        <v>720</v>
      </c>
      <c r="G592" s="3"/>
      <c r="H592" s="3" t="s">
        <v>23</v>
      </c>
      <c r="I592" s="3"/>
      <c r="J592" s="3"/>
      <c r="K592" s="3"/>
      <c r="L592" s="3"/>
      <c r="M592" s="3" t="s">
        <v>23</v>
      </c>
      <c r="N592" s="3" t="s">
        <v>23</v>
      </c>
      <c r="O592" s="3" t="s">
        <v>23</v>
      </c>
      <c r="P592" s="3"/>
      <c r="Q592" s="3" t="s">
        <v>23</v>
      </c>
      <c r="R592" s="3" t="s">
        <v>23</v>
      </c>
      <c r="S592" s="3" t="s">
        <v>23</v>
      </c>
      <c r="T592" s="3"/>
      <c r="U592" s="3"/>
      <c r="V592" s="3"/>
      <c r="W592" s="3" t="s">
        <v>23</v>
      </c>
    </row>
    <row r="593" spans="1:23" ht="27.6" customHeight="1" x14ac:dyDescent="0.25">
      <c r="A593" s="2" t="s">
        <v>100</v>
      </c>
      <c r="B593" s="3" t="s">
        <v>711</v>
      </c>
      <c r="C593" s="2" t="str">
        <f>INDEX(รายการสาร!$B:$B,MATCH($B593,รายการสาร!$A:$A,0))</f>
        <v>Hexene (4 % Chlorhexidine solution) 500 ml</v>
      </c>
      <c r="D593" s="2" t="str">
        <f>INDEX(รายการสาร!$C:$C,MATCH($B593,รายการสาร!$A:$A,0))</f>
        <v>chlorhexidine gluconate</v>
      </c>
      <c r="E593" s="2" t="s">
        <v>716</v>
      </c>
      <c r="F593" s="2" t="s">
        <v>720</v>
      </c>
      <c r="G593" s="3"/>
      <c r="H593" s="3" t="s">
        <v>23</v>
      </c>
      <c r="I593" s="3"/>
      <c r="J593" s="3" t="s">
        <v>23</v>
      </c>
      <c r="K593" s="3"/>
      <c r="L593" s="3"/>
      <c r="M593" s="3" t="s">
        <v>23</v>
      </c>
      <c r="N593" s="3" t="s">
        <v>23</v>
      </c>
      <c r="O593" s="3"/>
      <c r="P593" s="3"/>
      <c r="Q593" s="3" t="s">
        <v>23</v>
      </c>
      <c r="R593" s="3" t="s">
        <v>23</v>
      </c>
      <c r="S593" s="3" t="s">
        <v>23</v>
      </c>
      <c r="T593" s="3" t="s">
        <v>23</v>
      </c>
      <c r="U593" s="3"/>
      <c r="V593" s="3"/>
      <c r="W593" s="3" t="s">
        <v>23</v>
      </c>
    </row>
    <row r="594" spans="1:23" ht="27.6" customHeight="1" x14ac:dyDescent="0.25">
      <c r="A594" s="2" t="s">
        <v>100</v>
      </c>
      <c r="B594" s="3" t="s">
        <v>358</v>
      </c>
      <c r="C594" s="2" t="str">
        <f>INDEX(รายการสาร!$B:$B,MATCH($B594,รายการสาร!$A:$A,0))</f>
        <v>Hydrex scrub (4 % Chlorhexidine) 500 ml</v>
      </c>
      <c r="D594" s="2" t="str">
        <f>INDEX(รายการสาร!$C:$C,MATCH($B594,รายการสาร!$A:$A,0))</f>
        <v>chlorhexidine gluconate</v>
      </c>
      <c r="E594" s="2" t="s">
        <v>716</v>
      </c>
      <c r="F594" s="2" t="s">
        <v>720</v>
      </c>
      <c r="G594" s="3"/>
      <c r="H594" s="3" t="s">
        <v>23</v>
      </c>
      <c r="I594" s="3"/>
      <c r="J594" s="3"/>
      <c r="K594" s="3"/>
      <c r="L594" s="3"/>
      <c r="M594" s="3" t="s">
        <v>23</v>
      </c>
      <c r="N594" s="3" t="s">
        <v>23</v>
      </c>
      <c r="O594" s="3"/>
      <c r="P594" s="3"/>
      <c r="Q594" s="3" t="s">
        <v>23</v>
      </c>
      <c r="R594" s="3" t="s">
        <v>23</v>
      </c>
      <c r="S594" s="3" t="s">
        <v>23</v>
      </c>
      <c r="T594" s="3" t="s">
        <v>23</v>
      </c>
      <c r="U594" s="3"/>
      <c r="V594" s="3"/>
      <c r="W594" s="3" t="s">
        <v>23</v>
      </c>
    </row>
    <row r="595" spans="1:23" ht="27.6" customHeight="1" x14ac:dyDescent="0.25">
      <c r="A595" s="2" t="s">
        <v>100</v>
      </c>
      <c r="B595" s="3" t="s">
        <v>712</v>
      </c>
      <c r="C595" s="2" t="str">
        <f>INDEX(รายการสาร!$B:$B,MATCH($B595,รายการสาร!$A:$A,0))</f>
        <v>Chlorhex 5% 5000 ml</v>
      </c>
      <c r="D595" s="2" t="str">
        <f>INDEX(รายการสาร!$C:$C,MATCH($B595,รายการสาร!$A:$A,0))</f>
        <v>chlorhexidine gluconate</v>
      </c>
      <c r="E595" s="2" t="s">
        <v>394</v>
      </c>
      <c r="F595" s="2" t="s">
        <v>720</v>
      </c>
      <c r="G595" s="3"/>
      <c r="H595" s="3" t="s">
        <v>23</v>
      </c>
      <c r="I595" s="3"/>
      <c r="J595" s="3"/>
      <c r="K595" s="3"/>
      <c r="L595" s="3"/>
      <c r="M595" s="3" t="s">
        <v>23</v>
      </c>
      <c r="N595" s="3" t="s">
        <v>23</v>
      </c>
      <c r="O595" s="3"/>
      <c r="P595" s="3"/>
      <c r="Q595" s="3" t="s">
        <v>23</v>
      </c>
      <c r="R595" s="3" t="s">
        <v>23</v>
      </c>
      <c r="S595" s="3" t="s">
        <v>23</v>
      </c>
      <c r="T595" s="3" t="s">
        <v>23</v>
      </c>
      <c r="U595" s="3"/>
      <c r="V595" s="3"/>
      <c r="W595" s="3" t="s">
        <v>23</v>
      </c>
    </row>
    <row r="596" spans="1:23" ht="27.6" customHeight="1" x14ac:dyDescent="0.25">
      <c r="A596" s="2" t="s">
        <v>100</v>
      </c>
      <c r="B596" s="3" t="s">
        <v>366</v>
      </c>
      <c r="C596" s="2" t="str">
        <f>INDEX(รายการสาร!$B:$B,MATCH($B596,รายการสาร!$A:$A,0))</f>
        <v>Cidex OPA solution</v>
      </c>
      <c r="D596" s="2" t="str">
        <f>INDEX(รายการสาร!$C:$C,MATCH($B596,รายการสาร!$A:$A,0))</f>
        <v>ortho-phthalaldehyde</v>
      </c>
      <c r="E596" s="2" t="s">
        <v>410</v>
      </c>
      <c r="F596" s="2" t="s">
        <v>720</v>
      </c>
      <c r="G596" s="3"/>
      <c r="H596" s="3"/>
      <c r="I596" s="3"/>
      <c r="J596" s="3"/>
      <c r="K596" s="3"/>
      <c r="L596" s="3"/>
      <c r="M596" s="3" t="s">
        <v>23</v>
      </c>
      <c r="N596" s="3"/>
      <c r="O596" s="3"/>
      <c r="P596" s="3"/>
      <c r="Q596" s="3" t="s">
        <v>23</v>
      </c>
      <c r="R596" s="3" t="s">
        <v>23</v>
      </c>
      <c r="S596" s="3" t="s">
        <v>23</v>
      </c>
      <c r="T596" s="3"/>
      <c r="U596" s="3"/>
      <c r="V596" s="3"/>
      <c r="W596" s="3"/>
    </row>
    <row r="597" spans="1:23" x14ac:dyDescent="0.25">
      <c r="A597" s="2" t="s">
        <v>100</v>
      </c>
      <c r="B597" s="3" t="s">
        <v>736</v>
      </c>
      <c r="C597" s="2" t="str">
        <f>INDEX(รายการสาร!$B:$B,MATCH($B597,รายการสาร!$A:$A,0))</f>
        <v>coal tar solution 450 ml</v>
      </c>
      <c r="D597" s="2" t="str">
        <f>INDEX(รายการสาร!$C:$C,MATCH($B597,รายการสาร!$A:$A,0))</f>
        <v>coal tar solution</v>
      </c>
      <c r="E597" s="2" t="s">
        <v>383</v>
      </c>
      <c r="F597" s="2" t="s">
        <v>731</v>
      </c>
      <c r="G597" s="3"/>
      <c r="H597" s="3"/>
      <c r="I597" s="3"/>
      <c r="J597" s="3"/>
      <c r="K597" s="3"/>
      <c r="L597" s="3"/>
      <c r="M597" s="3"/>
      <c r="N597" s="3"/>
      <c r="O597" s="3" t="s">
        <v>23</v>
      </c>
      <c r="P597" s="3"/>
      <c r="Q597" s="3" t="s">
        <v>23</v>
      </c>
      <c r="R597" s="3" t="s">
        <v>23</v>
      </c>
      <c r="S597" s="3" t="s">
        <v>23</v>
      </c>
      <c r="T597" s="3" t="s">
        <v>23</v>
      </c>
      <c r="U597" s="3"/>
      <c r="V597" s="3"/>
      <c r="W597" s="3"/>
    </row>
    <row r="598" spans="1:23" ht="27.6" customHeight="1" x14ac:dyDescent="0.25">
      <c r="A598" s="2" t="s">
        <v>100</v>
      </c>
      <c r="B598" s="3" t="s">
        <v>737</v>
      </c>
      <c r="C598" s="2" t="str">
        <f>INDEX(รายการสาร!$B:$B,MATCH($B598,รายการสาร!$A:$A,0))</f>
        <v>corn starch powder</v>
      </c>
      <c r="D598" s="2" t="str">
        <f>INDEX(รายการสาร!$C:$C,MATCH($B598,รายการสาร!$A:$A,0))</f>
        <v>corn starch powder</v>
      </c>
      <c r="E598" s="2" t="s">
        <v>738</v>
      </c>
      <c r="F598" s="2" t="s">
        <v>731</v>
      </c>
      <c r="G598" s="3"/>
      <c r="H598" s="3"/>
      <c r="I598" s="3"/>
      <c r="J598" s="3"/>
      <c r="K598" s="3"/>
      <c r="L598" s="3"/>
      <c r="M598" s="3" t="s">
        <v>23</v>
      </c>
      <c r="N598" s="3"/>
      <c r="O598" s="3"/>
      <c r="P598" s="3"/>
      <c r="Q598" s="3"/>
      <c r="R598" s="3" t="s">
        <v>23</v>
      </c>
      <c r="S598" s="3" t="s">
        <v>23</v>
      </c>
      <c r="T598" s="3"/>
      <c r="U598" s="3"/>
      <c r="V598" s="3"/>
      <c r="W598" s="3"/>
    </row>
    <row r="599" spans="1:23" x14ac:dyDescent="0.25">
      <c r="A599" s="2" t="s">
        <v>100</v>
      </c>
      <c r="B599" s="3" t="s">
        <v>739</v>
      </c>
      <c r="C599" s="2" t="str">
        <f>INDEX(รายการสาร!$B:$B,MATCH($B599,รายการสาร!$A:$A,0))</f>
        <v>ephedrine HCL powder 100 g</v>
      </c>
      <c r="D599" s="2" t="str">
        <f>INDEX(รายการสาร!$C:$C,MATCH($B599,รายการสาร!$A:$A,0))</f>
        <v>ephedrine</v>
      </c>
      <c r="E599" s="2" t="s">
        <v>383</v>
      </c>
      <c r="F599" s="2" t="s">
        <v>720</v>
      </c>
      <c r="G599" s="3"/>
      <c r="H599" s="3"/>
      <c r="I599" s="3"/>
      <c r="J599" s="3"/>
      <c r="K599" s="3"/>
      <c r="L599" s="3"/>
      <c r="M599" s="3" t="s">
        <v>23</v>
      </c>
      <c r="N599" s="3"/>
      <c r="O599" s="3"/>
      <c r="P599" s="3"/>
      <c r="Q599" s="3" t="s">
        <v>23</v>
      </c>
      <c r="R599" s="3" t="s">
        <v>23</v>
      </c>
      <c r="S599" s="3" t="s">
        <v>23</v>
      </c>
      <c r="T599" s="3" t="s">
        <v>23</v>
      </c>
      <c r="U599" s="3"/>
      <c r="V599" s="3"/>
      <c r="W599" s="3"/>
    </row>
    <row r="600" spans="1:23" ht="27.6" customHeight="1" x14ac:dyDescent="0.25">
      <c r="A600" s="2" t="s">
        <v>100</v>
      </c>
      <c r="B600" s="3" t="s">
        <v>740</v>
      </c>
      <c r="C600" s="2" t="str">
        <f>INDEX(รายการสาร!$B:$B,MATCH($B600,รายการสาร!$A:$A,0))</f>
        <v>dimethyl sulphoxide DMSO 1000 ml</v>
      </c>
      <c r="D600" s="2" t="str">
        <f>INDEX(รายการสาร!$C:$C,MATCH($B600,รายการสาร!$A:$A,0))</f>
        <v>dimethyl sulphoxide</v>
      </c>
      <c r="E600" s="2" t="s">
        <v>383</v>
      </c>
      <c r="F600" s="2" t="s">
        <v>741</v>
      </c>
      <c r="G600" s="3"/>
      <c r="H600" s="3"/>
      <c r="I600" s="3"/>
      <c r="J600" s="3"/>
      <c r="K600" s="3"/>
      <c r="L600" s="3"/>
      <c r="M600" s="3" t="s">
        <v>23</v>
      </c>
      <c r="N600" s="3"/>
      <c r="O600" s="3"/>
      <c r="P600" s="3"/>
      <c r="Q600" s="3" t="s">
        <v>23</v>
      </c>
      <c r="R600" s="3" t="s">
        <v>23</v>
      </c>
      <c r="S600" s="3" t="s">
        <v>23</v>
      </c>
      <c r="T600" s="3"/>
      <c r="U600" s="3"/>
      <c r="V600" s="3"/>
      <c r="W600" s="3"/>
    </row>
    <row r="601" spans="1:23" x14ac:dyDescent="0.25">
      <c r="A601" s="2" t="s">
        <v>100</v>
      </c>
      <c r="B601" s="3" t="s">
        <v>714</v>
      </c>
      <c r="C601" s="2" t="str">
        <f>INDEX(รายการสาร!$B:$B,MATCH($B601,รายการสาร!$A:$A,0))</f>
        <v>40 %Formalin solution 450 ml</v>
      </c>
      <c r="D601" s="2" t="str">
        <f>INDEX(รายการสาร!$C:$C,MATCH($B601,รายการสาร!$A:$A,0))</f>
        <v>Formaldehyde</v>
      </c>
      <c r="E601" s="2" t="s">
        <v>717</v>
      </c>
      <c r="F601" s="2" t="s">
        <v>720</v>
      </c>
      <c r="G601" s="3"/>
      <c r="H601" s="3"/>
      <c r="I601" s="3"/>
      <c r="J601" s="3" t="s">
        <v>23</v>
      </c>
      <c r="K601" s="3" t="s">
        <v>23</v>
      </c>
      <c r="L601" s="3"/>
      <c r="M601" s="3" t="s">
        <v>23</v>
      </c>
      <c r="N601" s="3"/>
      <c r="O601" s="3"/>
      <c r="P601" s="3"/>
      <c r="Q601" s="3" t="s">
        <v>23</v>
      </c>
      <c r="R601" s="3" t="s">
        <v>23</v>
      </c>
      <c r="S601" s="3" t="s">
        <v>23</v>
      </c>
      <c r="T601" s="3" t="s">
        <v>23</v>
      </c>
      <c r="U601" s="3"/>
      <c r="V601" s="3"/>
      <c r="W601" s="3"/>
    </row>
    <row r="602" spans="1:23" ht="27.6" customHeight="1" x14ac:dyDescent="0.25">
      <c r="A602" s="2" t="s">
        <v>100</v>
      </c>
      <c r="B602" s="3" t="s">
        <v>742</v>
      </c>
      <c r="C602" s="2" t="str">
        <f>INDEX(รายการสาร!$B:$B,MATCH($B602,รายการสาร!$A:$A,0))</f>
        <v>glacial acetic acid liquid 450 ml</v>
      </c>
      <c r="D602" s="2" t="str">
        <f>INDEX(รายการสาร!$C:$C,MATCH($B602,รายการสาร!$A:$A,0))</f>
        <v>glacial acetic acid</v>
      </c>
      <c r="E602" s="2" t="s">
        <v>383</v>
      </c>
      <c r="F602" s="2" t="s">
        <v>720</v>
      </c>
      <c r="G602" s="3"/>
      <c r="H602" s="3" t="s">
        <v>23</v>
      </c>
      <c r="I602" s="3"/>
      <c r="J602" s="3"/>
      <c r="K602" s="3" t="s">
        <v>23</v>
      </c>
      <c r="L602" s="3"/>
      <c r="M602" s="3"/>
      <c r="N602" s="3"/>
      <c r="O602" s="3"/>
      <c r="P602" s="3"/>
      <c r="Q602" s="3" t="s">
        <v>23</v>
      </c>
      <c r="R602" s="3" t="s">
        <v>23</v>
      </c>
      <c r="S602" s="3" t="s">
        <v>23</v>
      </c>
      <c r="T602" s="3" t="s">
        <v>23</v>
      </c>
      <c r="U602" s="3"/>
      <c r="V602" s="3"/>
      <c r="W602" s="3" t="s">
        <v>23</v>
      </c>
    </row>
    <row r="603" spans="1:23" x14ac:dyDescent="0.25">
      <c r="A603" s="2" t="s">
        <v>100</v>
      </c>
      <c r="B603" s="3" t="s">
        <v>743</v>
      </c>
      <c r="C603" s="2" t="str">
        <f>INDEX(รายการสาร!$B:$B,MATCH($B603,รายการสาร!$A:$A,0))</f>
        <v>glycerine borax 10 ml</v>
      </c>
      <c r="D603" s="2" t="str">
        <f>INDEX(รายการสาร!$C:$C,MATCH($B603,รายการสาร!$A:$A,0))</f>
        <v>glycerine borax</v>
      </c>
      <c r="E603" s="2" t="s">
        <v>390</v>
      </c>
      <c r="F603" s="2" t="s">
        <v>720</v>
      </c>
      <c r="G603" s="3"/>
      <c r="H603" s="3"/>
      <c r="I603" s="3"/>
      <c r="J603" s="3"/>
      <c r="K603" s="3"/>
      <c r="L603" s="3"/>
      <c r="M603" s="3"/>
      <c r="N603" s="3"/>
      <c r="O603" s="3" t="s">
        <v>23</v>
      </c>
      <c r="P603" s="3"/>
      <c r="Q603" s="3" t="s">
        <v>23</v>
      </c>
      <c r="R603" s="3"/>
      <c r="S603" s="3" t="s">
        <v>23</v>
      </c>
      <c r="T603" s="3"/>
      <c r="U603" s="3"/>
      <c r="V603" s="3"/>
      <c r="W603" s="3"/>
    </row>
    <row r="604" spans="1:23" x14ac:dyDescent="0.25">
      <c r="A604" s="2" t="s">
        <v>100</v>
      </c>
      <c r="B604" s="3" t="s">
        <v>744</v>
      </c>
      <c r="C604" s="2" t="str">
        <f>INDEX(รายการสาร!$B:$B,MATCH($B604,รายการสาร!$A:$A,0))</f>
        <v>glycerine pure 1 gall</v>
      </c>
      <c r="D604" s="2" t="str">
        <f>INDEX(รายการสาร!$C:$C,MATCH($B604,รายการสาร!$A:$A,0))</f>
        <v>glycerine</v>
      </c>
      <c r="E604" s="2" t="s">
        <v>383</v>
      </c>
      <c r="F604" s="2" t="s">
        <v>720</v>
      </c>
      <c r="G604" s="3"/>
      <c r="H604" s="3"/>
      <c r="I604" s="3"/>
      <c r="J604" s="3"/>
      <c r="K604" s="3"/>
      <c r="L604" s="3"/>
      <c r="M604" s="3"/>
      <c r="N604" s="3"/>
      <c r="O604" s="3" t="s">
        <v>23</v>
      </c>
      <c r="P604" s="3"/>
      <c r="Q604" s="3" t="s">
        <v>23</v>
      </c>
      <c r="R604" s="3"/>
      <c r="S604" s="3" t="s">
        <v>23</v>
      </c>
      <c r="T604" s="3"/>
      <c r="U604" s="3"/>
      <c r="V604" s="3"/>
      <c r="W604" s="3"/>
    </row>
    <row r="605" spans="1:23" ht="27.6" customHeight="1" x14ac:dyDescent="0.25">
      <c r="A605" s="2" t="s">
        <v>100</v>
      </c>
      <c r="B605" s="3" t="s">
        <v>745</v>
      </c>
      <c r="C605" s="2" t="str">
        <f>INDEX(รายการสาร!$B:$B,MATCH($B605,รายการสาร!$A:$A,0))</f>
        <v>hydrogen peroxide 450 ml</v>
      </c>
      <c r="D605" s="2" t="str">
        <f>INDEX(รายการสาร!$C:$C,MATCH($B605,รายการสาร!$A:$A,0))</f>
        <v>hydrogen peroxide</v>
      </c>
      <c r="E605" s="2" t="s">
        <v>390</v>
      </c>
      <c r="F605" s="2" t="s">
        <v>720</v>
      </c>
      <c r="G605" s="3"/>
      <c r="H605" s="3" t="s">
        <v>23</v>
      </c>
      <c r="I605" s="3"/>
      <c r="J605" s="3"/>
      <c r="K605" s="3"/>
      <c r="L605" s="3"/>
      <c r="M605" s="3"/>
      <c r="N605" s="3"/>
      <c r="O605" s="3"/>
      <c r="P605" s="3"/>
      <c r="Q605" s="3" t="s">
        <v>23</v>
      </c>
      <c r="R605" s="3" t="s">
        <v>23</v>
      </c>
      <c r="S605" s="3" t="s">
        <v>23</v>
      </c>
      <c r="T605" s="3" t="s">
        <v>23</v>
      </c>
      <c r="U605" s="3"/>
      <c r="V605" s="3"/>
      <c r="W605" s="3" t="s">
        <v>23</v>
      </c>
    </row>
    <row r="606" spans="1:23" x14ac:dyDescent="0.25">
      <c r="A606" s="2" t="s">
        <v>100</v>
      </c>
      <c r="B606" s="3" t="s">
        <v>746</v>
      </c>
      <c r="C606" s="2" t="str">
        <f>INDEX(รายการสาร!$B:$B,MATCH($B606,รายการสาร!$A:$A,0))</f>
        <v>lidocaine powder 450 g</v>
      </c>
      <c r="D606" s="2" t="str">
        <f>INDEX(รายการสาร!$C:$C,MATCH($B606,รายการสาร!$A:$A,0))</f>
        <v>lidocaine</v>
      </c>
      <c r="E606" s="2" t="s">
        <v>383</v>
      </c>
      <c r="F606" s="2" t="s">
        <v>720</v>
      </c>
      <c r="G606" s="3"/>
      <c r="H606" s="3" t="s">
        <v>23</v>
      </c>
      <c r="I606" s="3"/>
      <c r="J606" s="3"/>
      <c r="K606" s="3"/>
      <c r="L606" s="3"/>
      <c r="M606" s="3" t="s">
        <v>23</v>
      </c>
      <c r="N606" s="3"/>
      <c r="O606" s="3"/>
      <c r="P606" s="3"/>
      <c r="Q606" s="3" t="s">
        <v>23</v>
      </c>
      <c r="R606" s="3" t="s">
        <v>23</v>
      </c>
      <c r="S606" s="3" t="s">
        <v>23</v>
      </c>
      <c r="T606" s="3"/>
      <c r="U606" s="3"/>
      <c r="V606" s="3"/>
      <c r="W606" s="3" t="s">
        <v>23</v>
      </c>
    </row>
    <row r="607" spans="1:23" x14ac:dyDescent="0.25">
      <c r="A607" s="2" t="s">
        <v>100</v>
      </c>
      <c r="B607" s="3" t="s">
        <v>747</v>
      </c>
      <c r="C607" s="2" t="str">
        <f>INDEX(รายการสาร!$B:$B,MATCH($B607,รายการสาร!$A:$A,0))</f>
        <v>lidocaine spray 10 % 50 ml</v>
      </c>
      <c r="D607" s="2" t="str">
        <f>INDEX(รายการสาร!$C:$C,MATCH($B607,รายการสาร!$A:$A,0))</f>
        <v>lidocaine</v>
      </c>
      <c r="E607" s="2" t="s">
        <v>390</v>
      </c>
      <c r="F607" s="2" t="s">
        <v>720</v>
      </c>
      <c r="G607" s="3"/>
      <c r="H607" s="3" t="s">
        <v>23</v>
      </c>
      <c r="I607" s="3"/>
      <c r="J607" s="3"/>
      <c r="K607" s="3"/>
      <c r="L607" s="3"/>
      <c r="M607" s="3" t="s">
        <v>23</v>
      </c>
      <c r="N607" s="3"/>
      <c r="O607" s="3"/>
      <c r="P607" s="3"/>
      <c r="Q607" s="3" t="s">
        <v>23</v>
      </c>
      <c r="R607" s="3" t="s">
        <v>23</v>
      </c>
      <c r="S607" s="3" t="s">
        <v>23</v>
      </c>
      <c r="T607" s="3"/>
      <c r="U607" s="3"/>
      <c r="V607" s="3"/>
      <c r="W607" s="3" t="s">
        <v>23</v>
      </c>
    </row>
    <row r="608" spans="1:23" x14ac:dyDescent="0.25">
      <c r="A608" s="2" t="s">
        <v>100</v>
      </c>
      <c r="B608" s="3" t="s">
        <v>748</v>
      </c>
      <c r="C608" s="2" t="str">
        <f>INDEX(รายการสาร!$B:$B,MATCH($B608,รายการสาร!$A:$A,0))</f>
        <v>methyl paraben powder 450 g</v>
      </c>
      <c r="D608" s="2" t="str">
        <f>INDEX(รายการสาร!$C:$C,MATCH($B608,รายการสาร!$A:$A,0))</f>
        <v>methyl paraben</v>
      </c>
      <c r="E608" s="2" t="s">
        <v>383</v>
      </c>
      <c r="F608" s="2" t="s">
        <v>731</v>
      </c>
      <c r="G608" s="3"/>
      <c r="H608" s="3"/>
      <c r="I608" s="3"/>
      <c r="J608" s="3"/>
      <c r="K608" s="3"/>
      <c r="L608" s="3"/>
      <c r="M608" s="3" t="s">
        <v>23</v>
      </c>
      <c r="N608" s="3"/>
      <c r="O608" s="3" t="s">
        <v>23</v>
      </c>
      <c r="P608" s="3"/>
      <c r="Q608" s="3" t="s">
        <v>23</v>
      </c>
      <c r="R608" s="3" t="s">
        <v>23</v>
      </c>
      <c r="S608" s="3" t="s">
        <v>23</v>
      </c>
      <c r="T608" s="3" t="s">
        <v>23</v>
      </c>
      <c r="U608" s="3"/>
      <c r="V608" s="3"/>
      <c r="W608" s="3"/>
    </row>
    <row r="609" spans="1:23" ht="27.6" customHeight="1" x14ac:dyDescent="0.25">
      <c r="A609" s="2" t="s">
        <v>100</v>
      </c>
      <c r="B609" s="3" t="s">
        <v>749</v>
      </c>
      <c r="C609" s="2" t="str">
        <f>INDEX(รายการสาร!$B:$B,MATCH($B609,รายการสาร!$A:$A,0))</f>
        <v>minoxidil powder 100 g</v>
      </c>
      <c r="D609" s="2" t="str">
        <f>INDEX(รายการสาร!$C:$C,MATCH($B609,รายการสาร!$A:$A,0))</f>
        <v>minoxidil powder</v>
      </c>
      <c r="E609" s="2" t="s">
        <v>383</v>
      </c>
      <c r="F609" s="2" t="s">
        <v>731</v>
      </c>
      <c r="G609" s="3"/>
      <c r="H609" s="3"/>
      <c r="I609" s="3"/>
      <c r="J609" s="3"/>
      <c r="K609" s="3"/>
      <c r="L609" s="3"/>
      <c r="M609" s="3" t="s">
        <v>23</v>
      </c>
      <c r="N609" s="3"/>
      <c r="O609" s="3" t="s">
        <v>23</v>
      </c>
      <c r="P609" s="3"/>
      <c r="Q609" s="3" t="s">
        <v>23</v>
      </c>
      <c r="R609" s="3" t="s">
        <v>23</v>
      </c>
      <c r="S609" s="3" t="s">
        <v>23</v>
      </c>
      <c r="T609" s="3" t="s">
        <v>23</v>
      </c>
      <c r="U609" s="3"/>
      <c r="V609" s="3"/>
      <c r="W609" s="3"/>
    </row>
    <row r="610" spans="1:23" x14ac:dyDescent="0.25">
      <c r="A610" s="2" t="s">
        <v>100</v>
      </c>
      <c r="B610" s="3" t="s">
        <v>750</v>
      </c>
      <c r="C610" s="2" t="str">
        <f>INDEX(รายการสาร!$B:$B,MATCH($B610,รายการสาร!$A:$A,0))</f>
        <v>monsel's solution</v>
      </c>
      <c r="D610" s="2" t="str">
        <f>INDEX(รายการสาร!$C:$C,MATCH($B610,รายการสาร!$A:$A,0))</f>
        <v>ferric subsulfate</v>
      </c>
      <c r="E610" s="2" t="s">
        <v>383</v>
      </c>
      <c r="F610" s="2" t="s">
        <v>720</v>
      </c>
      <c r="G610" s="3"/>
      <c r="H610" s="3"/>
      <c r="I610" s="3"/>
      <c r="J610" s="3"/>
      <c r="K610" s="3"/>
      <c r="L610" s="3"/>
      <c r="M610" s="3" t="s">
        <v>23</v>
      </c>
      <c r="N610" s="3"/>
      <c r="O610" s="3" t="s">
        <v>23</v>
      </c>
      <c r="P610" s="3"/>
      <c r="Q610" s="3" t="s">
        <v>23</v>
      </c>
      <c r="R610" s="3" t="s">
        <v>23</v>
      </c>
      <c r="S610" s="3" t="s">
        <v>23</v>
      </c>
      <c r="T610" s="3"/>
      <c r="U610" s="3"/>
      <c r="V610" s="3"/>
      <c r="W610" s="3"/>
    </row>
    <row r="611" spans="1:23" ht="27.6" customHeight="1" x14ac:dyDescent="0.25">
      <c r="A611" s="2" t="s">
        <v>100</v>
      </c>
      <c r="B611" s="3" t="s">
        <v>751</v>
      </c>
      <c r="C611" s="2" t="str">
        <f>INDEX(รายการสาร!$B:$B,MATCH($B611,รายการสาร!$A:$A,0))</f>
        <v>orange solution 25 ml</v>
      </c>
      <c r="D611" s="2" t="str">
        <f>INDEX(รายการสาร!$C:$C,MATCH($B611,รายการสาร!$A:$A,0))</f>
        <v>methyl orage solution</v>
      </c>
      <c r="E611" s="2" t="s">
        <v>390</v>
      </c>
      <c r="F611" s="2" t="s">
        <v>720</v>
      </c>
      <c r="G611" s="3"/>
      <c r="H611" s="3" t="s">
        <v>23</v>
      </c>
      <c r="I611" s="3"/>
      <c r="J611" s="3"/>
      <c r="K611" s="3"/>
      <c r="L611" s="3"/>
      <c r="M611" s="3"/>
      <c r="N611" s="3" t="s">
        <v>23</v>
      </c>
      <c r="O611" s="3"/>
      <c r="P611" s="3"/>
      <c r="Q611" s="3" t="s">
        <v>23</v>
      </c>
      <c r="R611" s="3" t="s">
        <v>23</v>
      </c>
      <c r="S611" s="3" t="s">
        <v>23</v>
      </c>
      <c r="T611" s="3"/>
      <c r="U611" s="3"/>
      <c r="V611" s="3"/>
      <c r="W611" s="3" t="s">
        <v>23</v>
      </c>
    </row>
    <row r="612" spans="1:23" x14ac:dyDescent="0.25">
      <c r="A612" s="2" t="s">
        <v>100</v>
      </c>
      <c r="B612" s="3" t="s">
        <v>752</v>
      </c>
      <c r="C612" s="2" t="str">
        <f>INDEX(รายการสาร!$B:$B,MATCH($B612,รายการสาร!$A:$A,0))</f>
        <v>olive oil 450 ml</v>
      </c>
      <c r="D612" s="2" t="str">
        <f>INDEX(รายการสาร!$C:$C,MATCH($B612,รายการสาร!$A:$A,0))</f>
        <v>olive oil</v>
      </c>
      <c r="E612" s="2" t="s">
        <v>394</v>
      </c>
      <c r="F612" s="2" t="s">
        <v>720</v>
      </c>
      <c r="G612" s="3"/>
      <c r="H612" s="3" t="s">
        <v>23</v>
      </c>
      <c r="I612" s="3"/>
      <c r="J612" s="3"/>
      <c r="K612" s="3"/>
      <c r="L612" s="3"/>
      <c r="M612" s="3"/>
      <c r="N612" s="3" t="s">
        <v>23</v>
      </c>
      <c r="O612" s="3"/>
      <c r="P612" s="3"/>
      <c r="Q612" s="3" t="s">
        <v>23</v>
      </c>
      <c r="R612" s="3" t="s">
        <v>23</v>
      </c>
      <c r="S612" s="3" t="s">
        <v>23</v>
      </c>
      <c r="T612" s="3"/>
      <c r="U612" s="3"/>
      <c r="V612" s="3"/>
      <c r="W612" s="3" t="s">
        <v>23</v>
      </c>
    </row>
    <row r="613" spans="1:23" x14ac:dyDescent="0.25">
      <c r="A613" s="2" t="s">
        <v>100</v>
      </c>
      <c r="B613" s="3" t="s">
        <v>753</v>
      </c>
      <c r="C613" s="2" t="str">
        <f>INDEX(รายการสาร!$B:$B,MATCH($B613,รายการสาร!$A:$A,0))</f>
        <v>paraffin liquid 450 ml</v>
      </c>
      <c r="D613" s="2" t="str">
        <f>INDEX(รายการสาร!$C:$C,MATCH($B613,รายการสาร!$A:$A,0))</f>
        <v>paraffin liquid</v>
      </c>
      <c r="E613" s="2" t="s">
        <v>383</v>
      </c>
      <c r="F613" s="2" t="s">
        <v>731</v>
      </c>
      <c r="G613" s="3"/>
      <c r="H613" s="3"/>
      <c r="I613" s="3"/>
      <c r="J613" s="3"/>
      <c r="K613" s="3"/>
      <c r="L613" s="3"/>
      <c r="M613" s="3" t="s">
        <v>23</v>
      </c>
      <c r="N613" s="3"/>
      <c r="O613" s="3"/>
      <c r="P613" s="3"/>
      <c r="Q613" s="3"/>
      <c r="R613" s="3" t="s">
        <v>23</v>
      </c>
      <c r="S613" s="3" t="s">
        <v>23</v>
      </c>
      <c r="T613" s="3"/>
      <c r="U613" s="3"/>
      <c r="V613" s="3"/>
      <c r="W613" s="3"/>
    </row>
    <row r="614" spans="1:23" ht="27.6" customHeight="1" x14ac:dyDescent="0.25">
      <c r="A614" s="2" t="s">
        <v>100</v>
      </c>
      <c r="B614" s="3" t="s">
        <v>754</v>
      </c>
      <c r="C614" s="2" t="str">
        <f>INDEX(รายการสาร!$B:$B,MATCH($B614,รายการสาร!$A:$A,0))</f>
        <v>potassium chloride powder 450 g</v>
      </c>
      <c r="D614" s="2" t="str">
        <f>INDEX(รายการสาร!$C:$C,MATCH($B614,รายการสาร!$A:$A,0))</f>
        <v>potassium chloride</v>
      </c>
      <c r="E614" s="2" t="s">
        <v>394</v>
      </c>
      <c r="F614" s="2" t="s">
        <v>720</v>
      </c>
      <c r="G614" s="3"/>
      <c r="H614" s="3"/>
      <c r="I614" s="3"/>
      <c r="J614" s="3"/>
      <c r="K614" s="3"/>
      <c r="L614" s="3"/>
      <c r="M614" s="3" t="s">
        <v>23</v>
      </c>
      <c r="N614" s="3"/>
      <c r="O614" s="3" t="s">
        <v>23</v>
      </c>
      <c r="P614" s="3"/>
      <c r="Q614" s="3" t="s">
        <v>23</v>
      </c>
      <c r="R614" s="3" t="s">
        <v>23</v>
      </c>
      <c r="S614" s="3"/>
      <c r="T614" s="3"/>
      <c r="U614" s="3"/>
      <c r="V614" s="3"/>
      <c r="W614" s="3"/>
    </row>
    <row r="615" spans="1:23" ht="27.6" customHeight="1" x14ac:dyDescent="0.25">
      <c r="A615" s="2" t="s">
        <v>100</v>
      </c>
      <c r="B615" s="3" t="s">
        <v>755</v>
      </c>
      <c r="C615" s="2" t="str">
        <f>INDEX(รายการสาร!$B:$B,MATCH($B615,รายการสาร!$A:$A,0))</f>
        <v>potassium permamganate crystal</v>
      </c>
      <c r="D615" s="2" t="str">
        <f>INDEX(รายการสาร!$C:$C,MATCH($B615,รายการสาร!$A:$A,0))</f>
        <v>potassium permamganate</v>
      </c>
      <c r="E615" s="2" t="s">
        <v>383</v>
      </c>
      <c r="F615" s="2" t="s">
        <v>731</v>
      </c>
      <c r="G615" s="3" t="s">
        <v>23</v>
      </c>
      <c r="H615" s="3"/>
      <c r="I615" s="3"/>
      <c r="J615" s="3"/>
      <c r="K615" s="3"/>
      <c r="L615" s="3"/>
      <c r="M615" s="3"/>
      <c r="N615" s="3"/>
      <c r="O615" s="3" t="s">
        <v>23</v>
      </c>
      <c r="P615" s="3"/>
      <c r="Q615" s="3" t="s">
        <v>23</v>
      </c>
      <c r="R615" s="3" t="s">
        <v>23</v>
      </c>
      <c r="S615" s="3" t="s">
        <v>23</v>
      </c>
      <c r="T615" s="3" t="s">
        <v>23</v>
      </c>
      <c r="U615" s="3"/>
      <c r="V615" s="3"/>
      <c r="W615" s="3"/>
    </row>
    <row r="616" spans="1:23" x14ac:dyDescent="0.25">
      <c r="A616" s="2" t="s">
        <v>100</v>
      </c>
      <c r="B616" s="3" t="s">
        <v>756</v>
      </c>
      <c r="C616" s="2" t="str">
        <f>INDEX(รายการสาร!$B:$B,MATCH($B616,รายการสาร!$A:$A,0))</f>
        <v>propyl paraben powder 450 g</v>
      </c>
      <c r="D616" s="2" t="str">
        <f>INDEX(รายการสาร!$C:$C,MATCH($B616,รายการสาร!$A:$A,0))</f>
        <v>propyl paraben</v>
      </c>
      <c r="E616" s="2" t="s">
        <v>383</v>
      </c>
      <c r="F616" s="2" t="s">
        <v>731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 t="s">
        <v>23</v>
      </c>
      <c r="S616" s="3" t="s">
        <v>23</v>
      </c>
      <c r="T616" s="3"/>
      <c r="U616" s="3"/>
      <c r="V616" s="3"/>
      <c r="W616" s="3"/>
    </row>
    <row r="617" spans="1:23" x14ac:dyDescent="0.25">
      <c r="A617" s="2" t="s">
        <v>100</v>
      </c>
      <c r="B617" s="3" t="s">
        <v>757</v>
      </c>
      <c r="C617" s="2" t="str">
        <f>INDEX(รายการสาร!$B:$B,MATCH($B617,รายการสาร!$A:$A,0))</f>
        <v>propylene glycol 450 ml</v>
      </c>
      <c r="D617" s="2" t="str">
        <f>INDEX(รายการสาร!$C:$C,MATCH($B617,รายการสาร!$A:$A,0))</f>
        <v>propylene glycol</v>
      </c>
      <c r="E617" s="2" t="s">
        <v>383</v>
      </c>
      <c r="F617" s="2" t="s">
        <v>731</v>
      </c>
      <c r="G617" s="3"/>
      <c r="H617" s="3"/>
      <c r="I617" s="3"/>
      <c r="J617" s="3"/>
      <c r="K617" s="3"/>
      <c r="L617" s="3"/>
      <c r="M617" s="3"/>
      <c r="N617" s="3"/>
      <c r="O617" s="3" t="s">
        <v>23</v>
      </c>
      <c r="P617" s="3"/>
      <c r="Q617" s="3"/>
      <c r="R617" s="3" t="s">
        <v>23</v>
      </c>
      <c r="S617" s="3" t="s">
        <v>23</v>
      </c>
      <c r="T617" s="3"/>
      <c r="U617" s="3"/>
      <c r="V617" s="3"/>
      <c r="W617" s="3"/>
    </row>
    <row r="618" spans="1:23" x14ac:dyDescent="0.25">
      <c r="A618" s="2" t="s">
        <v>100</v>
      </c>
      <c r="B618" s="3" t="s">
        <v>758</v>
      </c>
      <c r="C618" s="2" t="str">
        <f>INDEX(รายการสาร!$B:$B,MATCH($B618,รายการสาร!$A:$A,0))</f>
        <v>7.5 % povidone-iodine 1000 ml</v>
      </c>
      <c r="D618" s="2" t="str">
        <f>INDEX(รายการสาร!$C:$C,MATCH($B618,รายการสาร!$A:$A,0))</f>
        <v>povidone iodine</v>
      </c>
      <c r="E618" s="2" t="s">
        <v>383</v>
      </c>
      <c r="F618" s="2" t="s">
        <v>720</v>
      </c>
      <c r="G618" s="3"/>
      <c r="H618" s="3" t="s">
        <v>23</v>
      </c>
      <c r="I618" s="3"/>
      <c r="J618" s="3"/>
      <c r="K618" s="3"/>
      <c r="L618" s="3"/>
      <c r="M618" s="3" t="s">
        <v>23</v>
      </c>
      <c r="N618" s="3"/>
      <c r="O618" s="3" t="s">
        <v>23</v>
      </c>
      <c r="P618" s="3"/>
      <c r="Q618" s="3" t="s">
        <v>23</v>
      </c>
      <c r="R618" s="3" t="s">
        <v>23</v>
      </c>
      <c r="S618" s="3" t="s">
        <v>23</v>
      </c>
      <c r="T618" s="3" t="s">
        <v>23</v>
      </c>
      <c r="U618" s="3"/>
      <c r="V618" s="3"/>
      <c r="W618" s="3" t="s">
        <v>23</v>
      </c>
    </row>
    <row r="619" spans="1:23" x14ac:dyDescent="0.25">
      <c r="A619" s="2" t="s">
        <v>100</v>
      </c>
      <c r="B619" s="3" t="s">
        <v>759</v>
      </c>
      <c r="C619" s="2" t="str">
        <f>INDEX(รายการสาร!$B:$B,MATCH($B619,รายการสาร!$A:$A,0))</f>
        <v>salicylic acid powder 450 g</v>
      </c>
      <c r="D619" s="2" t="str">
        <f>INDEX(รายการสาร!$C:$C,MATCH($B619,รายการสาร!$A:$A,0))</f>
        <v>salicylic acid</v>
      </c>
      <c r="E619" s="2" t="s">
        <v>383</v>
      </c>
      <c r="F619" s="2" t="s">
        <v>731</v>
      </c>
      <c r="G619" s="3"/>
      <c r="H619" s="3"/>
      <c r="I619" s="3"/>
      <c r="J619" s="3"/>
      <c r="K619" s="3" t="s">
        <v>23</v>
      </c>
      <c r="L619" s="3"/>
      <c r="M619" s="3"/>
      <c r="N619" s="3"/>
      <c r="O619" s="3"/>
      <c r="P619" s="3"/>
      <c r="Q619" s="3" t="s">
        <v>23</v>
      </c>
      <c r="R619" s="3" t="s">
        <v>23</v>
      </c>
      <c r="S619" s="3" t="s">
        <v>23</v>
      </c>
      <c r="T619" s="3" t="s">
        <v>23</v>
      </c>
      <c r="U619" s="3"/>
      <c r="V619" s="3"/>
      <c r="W619" s="3"/>
    </row>
    <row r="620" spans="1:23" ht="41.4" customHeight="1" x14ac:dyDescent="0.25">
      <c r="A620" s="2" t="s">
        <v>100</v>
      </c>
      <c r="B620" s="3" t="s">
        <v>760</v>
      </c>
      <c r="C620" s="2" t="str">
        <f>INDEX(รายการสาร!$B:$B,MATCH($B620,รายการสาร!$A:$A,0))</f>
        <v>scmc powder</v>
      </c>
      <c r="D620" s="2" t="str">
        <f>INDEX(รายการสาร!$C:$C,MATCH($B620,รายการสาร!$A:$A,0))</f>
        <v>Sodium carboxymethylcellulose</v>
      </c>
      <c r="E620" s="2" t="s">
        <v>383</v>
      </c>
      <c r="F620" s="2" t="s">
        <v>731</v>
      </c>
      <c r="G620" s="3"/>
      <c r="H620" s="3"/>
      <c r="I620" s="3"/>
      <c r="J620" s="3"/>
      <c r="K620" s="3"/>
      <c r="L620" s="3"/>
      <c r="M620" s="3"/>
      <c r="N620" s="3"/>
      <c r="O620" s="3" t="s">
        <v>23</v>
      </c>
      <c r="P620" s="3"/>
      <c r="Q620" s="3"/>
      <c r="R620" s="3" t="s">
        <v>23</v>
      </c>
      <c r="S620" s="3" t="s">
        <v>23</v>
      </c>
      <c r="T620" s="3"/>
      <c r="U620" s="3"/>
      <c r="V620" s="3"/>
      <c r="W620" s="3"/>
    </row>
    <row r="621" spans="1:23" x14ac:dyDescent="0.25">
      <c r="A621" s="2" t="s">
        <v>100</v>
      </c>
      <c r="B621" s="3" t="s">
        <v>513</v>
      </c>
      <c r="C621" s="2" t="str">
        <f>INDEX(รายการสาร!$B:$B,MATCH($B621,รายการสาร!$A:$A,0))</f>
        <v>silver nitrate stick</v>
      </c>
      <c r="D621" s="2" t="str">
        <f>INDEX(รายการสาร!$C:$C,MATCH($B621,รายการสาร!$A:$A,0))</f>
        <v>silver nitrate</v>
      </c>
      <c r="E621" s="2" t="s">
        <v>390</v>
      </c>
      <c r="F621" s="2" t="s">
        <v>720</v>
      </c>
      <c r="G621" s="3"/>
      <c r="H621" s="3" t="s">
        <v>23</v>
      </c>
      <c r="I621" s="3"/>
      <c r="J621" s="3"/>
      <c r="K621" s="3" t="s">
        <v>23</v>
      </c>
      <c r="L621" s="3"/>
      <c r="M621" s="3"/>
      <c r="N621" s="3"/>
      <c r="O621" s="3"/>
      <c r="P621" s="3"/>
      <c r="Q621" s="3" t="s">
        <v>23</v>
      </c>
      <c r="R621" s="3" t="s">
        <v>23</v>
      </c>
      <c r="S621" s="3" t="s">
        <v>23</v>
      </c>
      <c r="T621" s="3" t="s">
        <v>23</v>
      </c>
      <c r="U621" s="3"/>
      <c r="V621" s="3"/>
      <c r="W621" s="3" t="s">
        <v>23</v>
      </c>
    </row>
    <row r="622" spans="1:23" x14ac:dyDescent="0.25">
      <c r="A622" s="2" t="s">
        <v>100</v>
      </c>
      <c r="B622" s="3" t="s">
        <v>761</v>
      </c>
      <c r="C622" s="2" t="str">
        <f>INDEX(รายการสาร!$B:$B,MATCH($B622,รายการสาร!$A:$A,0))</f>
        <v>SUPRANE (DESFLURANE) SOLUTION (240 ml)</v>
      </c>
      <c r="D622" s="2" t="str">
        <f>INDEX(รายการสาร!$C:$C,MATCH($B622,รายการสาร!$A:$A,0))</f>
        <v>suprane</v>
      </c>
      <c r="E622" s="2" t="s">
        <v>412</v>
      </c>
      <c r="F622" s="2" t="s">
        <v>719</v>
      </c>
      <c r="G622" s="3"/>
      <c r="H622" s="3"/>
      <c r="I622" s="3"/>
      <c r="J622" s="3"/>
      <c r="K622" s="3"/>
      <c r="L622" s="3"/>
      <c r="M622" s="3" t="s">
        <v>23</v>
      </c>
      <c r="N622" s="3"/>
      <c r="O622" s="3" t="s">
        <v>23</v>
      </c>
      <c r="P622" s="3"/>
      <c r="Q622" s="3" t="s">
        <v>23</v>
      </c>
      <c r="R622" s="3" t="s">
        <v>23</v>
      </c>
      <c r="S622" s="3" t="s">
        <v>23</v>
      </c>
      <c r="T622" s="3"/>
      <c r="U622" s="3"/>
      <c r="V622" s="3"/>
      <c r="W622" s="3"/>
    </row>
    <row r="623" spans="1:23" ht="27.6" customHeight="1" x14ac:dyDescent="0.25">
      <c r="A623" s="2" t="s">
        <v>100</v>
      </c>
      <c r="B623" s="3" t="s">
        <v>762</v>
      </c>
      <c r="C623" s="2" t="str">
        <f>INDEX(รายการสาร!$B:$B,MATCH($B623,รายการสาร!$A:$A,0))</f>
        <v>thimerosol tincture 30 ml</v>
      </c>
      <c r="D623" s="2" t="str">
        <f>INDEX(รายการสาร!$C:$C,MATCH($B623,รายการสาร!$A:$A,0))</f>
        <v>thimerosol tincture</v>
      </c>
      <c r="E623" s="2" t="s">
        <v>383</v>
      </c>
      <c r="F623" s="2" t="s">
        <v>720</v>
      </c>
      <c r="G623" s="3"/>
      <c r="H623" s="3" t="s">
        <v>23</v>
      </c>
      <c r="I623" s="3"/>
      <c r="J623" s="3"/>
      <c r="K623" s="3"/>
      <c r="L623" s="3"/>
      <c r="M623" s="3" t="s">
        <v>23</v>
      </c>
      <c r="N623" s="3"/>
      <c r="O623" s="3"/>
      <c r="P623" s="3"/>
      <c r="Q623" s="3" t="s">
        <v>23</v>
      </c>
      <c r="R623" s="3" t="s">
        <v>23</v>
      </c>
      <c r="S623" s="3" t="s">
        <v>23</v>
      </c>
      <c r="T623" s="3" t="s">
        <v>23</v>
      </c>
      <c r="U623" s="3"/>
      <c r="V623" s="3"/>
      <c r="W623" s="3" t="s">
        <v>23</v>
      </c>
    </row>
    <row r="624" spans="1:23" ht="27.6" customHeight="1" x14ac:dyDescent="0.25">
      <c r="A624" s="2" t="s">
        <v>100</v>
      </c>
      <c r="B624" s="3" t="s">
        <v>763</v>
      </c>
      <c r="C624" s="2" t="str">
        <f>INDEX(รายการสาร!$B:$B,MATCH($B624,รายการสาร!$A:$A,0))</f>
        <v>trichloroacetic acid powder</v>
      </c>
      <c r="D624" s="2" t="str">
        <f>INDEX(รายการสาร!$C:$C,MATCH($B624,รายการสาร!$A:$A,0))</f>
        <v>trichloroacetic acid</v>
      </c>
      <c r="E624" s="2" t="s">
        <v>383</v>
      </c>
      <c r="F624" s="2" t="s">
        <v>720</v>
      </c>
      <c r="G624" s="3"/>
      <c r="H624" s="3"/>
      <c r="I624" s="3"/>
      <c r="J624" s="3"/>
      <c r="K624" s="3" t="s">
        <v>23</v>
      </c>
      <c r="L624" s="3"/>
      <c r="M624" s="3" t="s">
        <v>23</v>
      </c>
      <c r="N624" s="3"/>
      <c r="O624" s="3"/>
      <c r="P624" s="3"/>
      <c r="Q624" s="3" t="s">
        <v>23</v>
      </c>
      <c r="R624" s="3" t="s">
        <v>23</v>
      </c>
      <c r="S624" s="3" t="s">
        <v>23</v>
      </c>
      <c r="T624" s="3" t="s">
        <v>23</v>
      </c>
      <c r="U624" s="3"/>
      <c r="V624" s="3"/>
      <c r="W624" s="3"/>
    </row>
    <row r="625" spans="1:23" x14ac:dyDescent="0.25">
      <c r="A625" s="2" t="s">
        <v>100</v>
      </c>
      <c r="B625" s="3" t="s">
        <v>764</v>
      </c>
      <c r="C625" s="2" t="str">
        <f>INDEX(รายการสาร!$B:$B,MATCH($B625,รายการสาร!$A:$A,0))</f>
        <v>zinc oxide powder 450 g</v>
      </c>
      <c r="D625" s="2" t="str">
        <f>INDEX(รายการสาร!$C:$C,MATCH($B625,รายการสาร!$A:$A,0))</f>
        <v>zinc oxide</v>
      </c>
      <c r="E625" s="2" t="s">
        <v>383</v>
      </c>
      <c r="F625" s="2" t="s">
        <v>731</v>
      </c>
      <c r="G625" s="3"/>
      <c r="H625" s="3"/>
      <c r="I625" s="3"/>
      <c r="J625" s="3"/>
      <c r="K625" s="3"/>
      <c r="L625" s="3"/>
      <c r="M625" s="3" t="s">
        <v>23</v>
      </c>
      <c r="N625" s="3"/>
      <c r="O625" s="3" t="s">
        <v>23</v>
      </c>
      <c r="P625" s="3"/>
      <c r="Q625" s="3" t="s">
        <v>23</v>
      </c>
      <c r="R625" s="3" t="s">
        <v>23</v>
      </c>
      <c r="S625" s="3" t="s">
        <v>23</v>
      </c>
      <c r="T625" s="3" t="s">
        <v>23</v>
      </c>
      <c r="U625" s="3"/>
      <c r="V625" s="3"/>
      <c r="W625" s="3"/>
    </row>
    <row r="626" spans="1:23" ht="27.6" customHeight="1" x14ac:dyDescent="0.25">
      <c r="A626" s="2" t="s">
        <v>100</v>
      </c>
      <c r="B626" s="3" t="s">
        <v>208</v>
      </c>
      <c r="C626" s="2" t="str">
        <f>INDEX(รายการสาร!$B:$B,MATCH($B626,รายการสาร!$A:$A,0))</f>
        <v>น้ำยาล้างจาน</v>
      </c>
      <c r="D626" s="2" t="str">
        <f>INDEX(รายการสาร!$C:$C,MATCH($B626,รายการสาร!$A:$A,0))</f>
        <v>ไลปอนเอฟ ,มาวิน และซันไลต์</v>
      </c>
      <c r="E626" s="2" t="s">
        <v>383</v>
      </c>
      <c r="F626" s="2" t="s">
        <v>765</v>
      </c>
      <c r="G626" s="3"/>
      <c r="H626" s="3"/>
      <c r="I626" s="3"/>
      <c r="J626" s="3"/>
      <c r="K626" s="3"/>
      <c r="L626" s="3"/>
      <c r="M626" s="3"/>
      <c r="N626" s="3"/>
      <c r="O626" s="3" t="s">
        <v>23</v>
      </c>
      <c r="P626" s="3"/>
      <c r="Q626" s="3" t="s">
        <v>23</v>
      </c>
      <c r="R626" s="3"/>
      <c r="S626" s="3" t="s">
        <v>23</v>
      </c>
      <c r="T626" s="3"/>
      <c r="U626" s="3"/>
      <c r="V626" s="3"/>
      <c r="W626" s="3"/>
    </row>
    <row r="627" spans="1:23" x14ac:dyDescent="0.25">
      <c r="A627" s="2" t="s">
        <v>100</v>
      </c>
      <c r="B627" s="3" t="s">
        <v>766</v>
      </c>
      <c r="C627" s="2" t="str">
        <f>INDEX(รายการสาร!$B:$B,MATCH($B627,รายการสาร!$A:$A,0))</f>
        <v>น้ำยาล้างมือ</v>
      </c>
      <c r="D627" s="2" t="str">
        <f>INDEX(รายการสาร!$C:$C,MATCH($B627,รายการสาร!$A:$A,0))</f>
        <v>Kimcare</v>
      </c>
      <c r="E627" s="2" t="s">
        <v>383</v>
      </c>
      <c r="F627" s="2" t="s">
        <v>765</v>
      </c>
      <c r="G627" s="3"/>
      <c r="H627" s="3"/>
      <c r="I627" s="3"/>
      <c r="J627" s="3"/>
      <c r="K627" s="3"/>
      <c r="L627" s="3"/>
      <c r="M627" s="3"/>
      <c r="N627" s="3"/>
      <c r="O627" s="3" t="s">
        <v>23</v>
      </c>
      <c r="P627" s="3"/>
      <c r="Q627" s="3" t="s">
        <v>23</v>
      </c>
      <c r="R627" s="3"/>
      <c r="S627" s="3"/>
      <c r="T627" s="3"/>
      <c r="U627" s="3"/>
      <c r="V627" s="3"/>
      <c r="W627" s="3"/>
    </row>
    <row r="628" spans="1:23" x14ac:dyDescent="0.25">
      <c r="A628" s="2" t="s">
        <v>100</v>
      </c>
      <c r="B628" s="3" t="s">
        <v>767</v>
      </c>
      <c r="C628" s="2" t="str">
        <f>INDEX(รายการสาร!$B:$B,MATCH($B628,รายการสาร!$A:$A,0))</f>
        <v>CAWIWIPE</v>
      </c>
      <c r="D628" s="2" t="str">
        <f>INDEX(รายการสาร!$C:$C,MATCH($B628,รายการสาร!$A:$A,0))</f>
        <v>CAWIWIPE</v>
      </c>
      <c r="E628" s="2" t="s">
        <v>390</v>
      </c>
      <c r="F628" s="2" t="s">
        <v>765</v>
      </c>
      <c r="G628" s="3"/>
      <c r="H628" s="3" t="s">
        <v>23</v>
      </c>
      <c r="I628" s="3"/>
      <c r="J628" s="3"/>
      <c r="K628" s="3"/>
      <c r="L628" s="3"/>
      <c r="M628" s="3"/>
      <c r="N628" s="3"/>
      <c r="O628" s="3" t="s">
        <v>23</v>
      </c>
      <c r="P628" s="3"/>
      <c r="Q628" s="3" t="s">
        <v>23</v>
      </c>
      <c r="R628" s="3"/>
      <c r="S628" s="3"/>
      <c r="T628" s="3"/>
      <c r="U628" s="3"/>
      <c r="V628" s="3"/>
      <c r="W628" s="3" t="s">
        <v>23</v>
      </c>
    </row>
    <row r="629" spans="1:23" x14ac:dyDescent="0.25">
      <c r="A629" s="2" t="s">
        <v>100</v>
      </c>
      <c r="B629" s="3" t="s">
        <v>768</v>
      </c>
      <c r="C629" s="2" t="str">
        <f>INDEX(รายการสาร!$B:$B,MATCH($B629,รายการสาร!$A:$A,0))</f>
        <v>ยาเคมีบำบัด</v>
      </c>
      <c r="D629" s="2" t="str">
        <f>INDEX(รายการสาร!$C:$C,MATCH($B629,รายการสาร!$A:$A,0))</f>
        <v>ยาเคมีบำบัด</v>
      </c>
      <c r="E629" s="2"/>
      <c r="F629" s="2" t="s">
        <v>719</v>
      </c>
      <c r="G629" s="3"/>
      <c r="H629" s="3"/>
      <c r="I629" s="3"/>
      <c r="J629" s="3"/>
      <c r="K629" s="3"/>
      <c r="L629" s="3"/>
      <c r="M629" s="3" t="s">
        <v>23</v>
      </c>
      <c r="N629" s="3"/>
      <c r="O629" s="3" t="s">
        <v>23</v>
      </c>
      <c r="P629" s="3"/>
      <c r="Q629" s="3" t="s">
        <v>23</v>
      </c>
      <c r="R629" s="3" t="s">
        <v>23</v>
      </c>
      <c r="S629" s="3" t="s">
        <v>23</v>
      </c>
      <c r="T629" s="3" t="s">
        <v>23</v>
      </c>
      <c r="U629" s="3"/>
      <c r="V629" s="3"/>
      <c r="W629" s="3"/>
    </row>
    <row r="630" spans="1:23" x14ac:dyDescent="0.25">
      <c r="A630" s="2" t="s">
        <v>100</v>
      </c>
      <c r="B630" s="3" t="s">
        <v>769</v>
      </c>
      <c r="C630" s="2" t="str">
        <f>INDEX(รายการสาร!$B:$B,MATCH($B630,รายการสาร!$A:$A,0))</f>
        <v>carboplatin</v>
      </c>
      <c r="D630" s="2" t="str">
        <f>INDEX(รายการสาร!$C:$C,MATCH($B630,รายการสาร!$A:$A,0))</f>
        <v>carboplatin</v>
      </c>
      <c r="E630" s="2"/>
      <c r="F630" s="2" t="s">
        <v>719</v>
      </c>
      <c r="G630" s="3"/>
      <c r="H630" s="3"/>
      <c r="I630" s="3"/>
      <c r="J630" s="3"/>
      <c r="K630" s="3"/>
      <c r="L630" s="3"/>
      <c r="M630" s="3" t="s">
        <v>23</v>
      </c>
      <c r="N630" s="3"/>
      <c r="O630" s="3" t="s">
        <v>23</v>
      </c>
      <c r="P630" s="3"/>
      <c r="Q630" s="3" t="s">
        <v>23</v>
      </c>
      <c r="R630" s="3" t="s">
        <v>23</v>
      </c>
      <c r="S630" s="3" t="s">
        <v>23</v>
      </c>
      <c r="T630" s="3" t="s">
        <v>23</v>
      </c>
      <c r="U630" s="3"/>
      <c r="V630" s="3"/>
      <c r="W630" s="3"/>
    </row>
    <row r="631" spans="1:23" x14ac:dyDescent="0.25">
      <c r="A631" s="2" t="s">
        <v>100</v>
      </c>
      <c r="B631" s="3" t="s">
        <v>770</v>
      </c>
      <c r="C631" s="2" t="str">
        <f>INDEX(รายการสาร!$B:$B,MATCH($B631,รายการสาร!$A:$A,0))</f>
        <v>cisplatin</v>
      </c>
      <c r="D631" s="2" t="str">
        <f>INDEX(รายการสาร!$C:$C,MATCH($B631,รายการสาร!$A:$A,0))</f>
        <v>cisplatin</v>
      </c>
      <c r="E631" s="2"/>
      <c r="F631" s="2" t="s">
        <v>719</v>
      </c>
      <c r="G631" s="3"/>
      <c r="H631" s="3"/>
      <c r="I631" s="3"/>
      <c r="J631" s="3"/>
      <c r="K631" s="3"/>
      <c r="L631" s="3"/>
      <c r="M631" s="3" t="s">
        <v>23</v>
      </c>
      <c r="N631" s="3"/>
      <c r="O631" s="3" t="s">
        <v>23</v>
      </c>
      <c r="P631" s="3"/>
      <c r="Q631" s="3" t="s">
        <v>23</v>
      </c>
      <c r="R631" s="3" t="s">
        <v>23</v>
      </c>
      <c r="S631" s="3" t="s">
        <v>23</v>
      </c>
      <c r="T631" s="3" t="s">
        <v>23</v>
      </c>
      <c r="U631" s="3"/>
      <c r="V631" s="3"/>
      <c r="W631" s="3"/>
    </row>
    <row r="632" spans="1:23" x14ac:dyDescent="0.25">
      <c r="A632" s="2" t="s">
        <v>100</v>
      </c>
      <c r="B632" s="3" t="s">
        <v>771</v>
      </c>
      <c r="C632" s="2" t="str">
        <f>INDEX(รายการสาร!$B:$B,MATCH($B632,รายการสาร!$A:$A,0))</f>
        <v>docetaxel</v>
      </c>
      <c r="D632" s="2" t="str">
        <f>INDEX(รายการสาร!$C:$C,MATCH($B632,รายการสาร!$A:$A,0))</f>
        <v>docetaxel</v>
      </c>
      <c r="E632" s="2"/>
      <c r="F632" s="2" t="s">
        <v>719</v>
      </c>
      <c r="G632" s="3"/>
      <c r="H632" s="3"/>
      <c r="I632" s="3"/>
      <c r="J632" s="3"/>
      <c r="K632" s="3"/>
      <c r="L632" s="3"/>
      <c r="M632" s="3" t="s">
        <v>23</v>
      </c>
      <c r="N632" s="3"/>
      <c r="O632" s="3" t="s">
        <v>23</v>
      </c>
      <c r="P632" s="3"/>
      <c r="Q632" s="3" t="s">
        <v>23</v>
      </c>
      <c r="R632" s="3" t="s">
        <v>23</v>
      </c>
      <c r="S632" s="3" t="s">
        <v>23</v>
      </c>
      <c r="T632" s="3" t="s">
        <v>23</v>
      </c>
      <c r="U632" s="3"/>
      <c r="V632" s="3"/>
      <c r="W632" s="3"/>
    </row>
    <row r="633" spans="1:23" x14ac:dyDescent="0.25">
      <c r="A633" s="2" t="s">
        <v>100</v>
      </c>
      <c r="B633" s="3" t="s">
        <v>772</v>
      </c>
      <c r="C633" s="2" t="str">
        <f>INDEX(รายการสาร!$B:$B,MATCH($B633,รายการสาร!$A:$A,0))</f>
        <v>doxorubicin</v>
      </c>
      <c r="D633" s="2" t="str">
        <f>INDEX(รายการสาร!$C:$C,MATCH($B633,รายการสาร!$A:$A,0))</f>
        <v>doxorubicin</v>
      </c>
      <c r="E633" s="2"/>
      <c r="F633" s="2" t="s">
        <v>719</v>
      </c>
      <c r="G633" s="3"/>
      <c r="H633" s="3"/>
      <c r="I633" s="3"/>
      <c r="J633" s="3"/>
      <c r="K633" s="3"/>
      <c r="L633" s="3"/>
      <c r="M633" s="3" t="s">
        <v>23</v>
      </c>
      <c r="N633" s="3"/>
      <c r="O633" s="3" t="s">
        <v>23</v>
      </c>
      <c r="P633" s="3"/>
      <c r="Q633" s="3" t="s">
        <v>23</v>
      </c>
      <c r="R633" s="3" t="s">
        <v>23</v>
      </c>
      <c r="S633" s="3" t="s">
        <v>23</v>
      </c>
      <c r="T633" s="3" t="s">
        <v>23</v>
      </c>
      <c r="U633" s="3"/>
      <c r="V633" s="3"/>
      <c r="W633" s="3"/>
    </row>
    <row r="634" spans="1:23" ht="27.6" customHeight="1" x14ac:dyDescent="0.25">
      <c r="A634" s="2" t="s">
        <v>100</v>
      </c>
      <c r="B634" s="3" t="s">
        <v>773</v>
      </c>
      <c r="C634" s="2" t="str">
        <f>INDEX(รายการสาร!$B:$B,MATCH($B634,รายการสาร!$A:$A,0))</f>
        <v>cyclophosphamide</v>
      </c>
      <c r="D634" s="2" t="str">
        <f>INDEX(รายการสาร!$C:$C,MATCH($B634,รายการสาร!$A:$A,0))</f>
        <v>cyclophosphamide</v>
      </c>
      <c r="E634" s="2"/>
      <c r="F634" s="2" t="s">
        <v>719</v>
      </c>
      <c r="G634" s="3"/>
      <c r="H634" s="3"/>
      <c r="I634" s="3"/>
      <c r="J634" s="3"/>
      <c r="K634" s="3"/>
      <c r="L634" s="3"/>
      <c r="M634" s="3" t="s">
        <v>23</v>
      </c>
      <c r="N634" s="3"/>
      <c r="O634" s="3" t="s">
        <v>23</v>
      </c>
      <c r="P634" s="3"/>
      <c r="Q634" s="3" t="s">
        <v>23</v>
      </c>
      <c r="R634" s="3" t="s">
        <v>23</v>
      </c>
      <c r="S634" s="3" t="s">
        <v>23</v>
      </c>
      <c r="T634" s="3" t="s">
        <v>23</v>
      </c>
      <c r="U634" s="3"/>
      <c r="V634" s="3"/>
      <c r="W634" s="3"/>
    </row>
    <row r="635" spans="1:23" x14ac:dyDescent="0.25">
      <c r="A635" s="2" t="s">
        <v>100</v>
      </c>
      <c r="B635" s="3" t="s">
        <v>774</v>
      </c>
      <c r="C635" s="2" t="str">
        <f>INDEX(รายการสาร!$B:$B,MATCH($B635,รายการสาร!$A:$A,0))</f>
        <v>epirubicin</v>
      </c>
      <c r="D635" s="2" t="str">
        <f>INDEX(รายการสาร!$C:$C,MATCH($B635,รายการสาร!$A:$A,0))</f>
        <v>epirubicin</v>
      </c>
      <c r="E635" s="2"/>
      <c r="F635" s="2" t="s">
        <v>719</v>
      </c>
      <c r="G635" s="3"/>
      <c r="H635" s="3"/>
      <c r="I635" s="3"/>
      <c r="J635" s="3"/>
      <c r="K635" s="3"/>
      <c r="L635" s="3"/>
      <c r="M635" s="3" t="s">
        <v>23</v>
      </c>
      <c r="N635" s="3"/>
      <c r="O635" s="3" t="s">
        <v>23</v>
      </c>
      <c r="P635" s="3"/>
      <c r="Q635" s="3" t="s">
        <v>23</v>
      </c>
      <c r="R635" s="3" t="s">
        <v>23</v>
      </c>
      <c r="S635" s="3" t="s">
        <v>23</v>
      </c>
      <c r="T635" s="3" t="s">
        <v>23</v>
      </c>
      <c r="U635" s="3"/>
      <c r="V635" s="3"/>
      <c r="W635" s="3"/>
    </row>
    <row r="636" spans="1:23" x14ac:dyDescent="0.25">
      <c r="A636" s="2" t="s">
        <v>100</v>
      </c>
      <c r="B636" s="3" t="s">
        <v>775</v>
      </c>
      <c r="C636" s="2" t="str">
        <f>INDEX(รายการสาร!$B:$B,MATCH($B636,รายการสาร!$A:$A,0))</f>
        <v>5-fu</v>
      </c>
      <c r="D636" s="2" t="str">
        <f>INDEX(รายการสาร!$C:$C,MATCH($B636,รายการสาร!$A:$A,0))</f>
        <v>fluorouracil</v>
      </c>
      <c r="E636" s="2"/>
      <c r="F636" s="2" t="s">
        <v>719</v>
      </c>
      <c r="G636" s="3"/>
      <c r="H636" s="3"/>
      <c r="I636" s="3"/>
      <c r="J636" s="3"/>
      <c r="K636" s="3"/>
      <c r="L636" s="3"/>
      <c r="M636" s="3" t="s">
        <v>23</v>
      </c>
      <c r="N636" s="3"/>
      <c r="O636" s="3" t="s">
        <v>23</v>
      </c>
      <c r="P636" s="3"/>
      <c r="Q636" s="3" t="s">
        <v>23</v>
      </c>
      <c r="R636" s="3" t="s">
        <v>23</v>
      </c>
      <c r="S636" s="3" t="s">
        <v>23</v>
      </c>
      <c r="T636" s="3" t="s">
        <v>23</v>
      </c>
      <c r="U636" s="3"/>
      <c r="V636" s="3"/>
      <c r="W636" s="3"/>
    </row>
    <row r="637" spans="1:23" x14ac:dyDescent="0.25">
      <c r="A637" s="2" t="s">
        <v>100</v>
      </c>
      <c r="B637" s="3" t="s">
        <v>776</v>
      </c>
      <c r="C637" s="2" t="str">
        <f>INDEX(รายการสาร!$B:$B,MATCH($B637,รายการสาร!$A:$A,0))</f>
        <v>gemcitabine</v>
      </c>
      <c r="D637" s="2" t="str">
        <f>INDEX(รายการสาร!$C:$C,MATCH($B637,รายการสาร!$A:$A,0))</f>
        <v>gemcitabine</v>
      </c>
      <c r="E637" s="2"/>
      <c r="F637" s="2" t="s">
        <v>719</v>
      </c>
      <c r="G637" s="3"/>
      <c r="H637" s="3"/>
      <c r="I637" s="3"/>
      <c r="J637" s="3"/>
      <c r="K637" s="3"/>
      <c r="L637" s="3"/>
      <c r="M637" s="3" t="s">
        <v>23</v>
      </c>
      <c r="N637" s="3"/>
      <c r="O637" s="3" t="s">
        <v>23</v>
      </c>
      <c r="P637" s="3"/>
      <c r="Q637" s="3" t="s">
        <v>23</v>
      </c>
      <c r="R637" s="3" t="s">
        <v>23</v>
      </c>
      <c r="S637" s="3" t="s">
        <v>23</v>
      </c>
      <c r="T637" s="3" t="s">
        <v>23</v>
      </c>
      <c r="U637" s="3"/>
      <c r="V637" s="3"/>
      <c r="W637" s="3"/>
    </row>
    <row r="638" spans="1:23" x14ac:dyDescent="0.25">
      <c r="A638" s="2" t="s">
        <v>100</v>
      </c>
      <c r="B638" s="3" t="s">
        <v>777</v>
      </c>
      <c r="C638" s="2" t="str">
        <f>INDEX(รายการสาร!$B:$B,MATCH($B638,รายการสาร!$A:$A,0))</f>
        <v>herceptin</v>
      </c>
      <c r="D638" s="2" t="str">
        <f>INDEX(รายการสาร!$C:$C,MATCH($B638,รายการสาร!$A:$A,0))</f>
        <v>trastuzumab</v>
      </c>
      <c r="E638" s="2"/>
      <c r="F638" s="2" t="s">
        <v>719</v>
      </c>
      <c r="G638" s="3"/>
      <c r="H638" s="3"/>
      <c r="I638" s="3"/>
      <c r="J638" s="3"/>
      <c r="K638" s="3"/>
      <c r="L638" s="3"/>
      <c r="M638" s="3" t="s">
        <v>23</v>
      </c>
      <c r="N638" s="3"/>
      <c r="O638" s="3" t="s">
        <v>23</v>
      </c>
      <c r="P638" s="3"/>
      <c r="Q638" s="3" t="s">
        <v>23</v>
      </c>
      <c r="R638" s="3" t="s">
        <v>23</v>
      </c>
      <c r="S638" s="3" t="s">
        <v>23</v>
      </c>
      <c r="T638" s="3" t="s">
        <v>23</v>
      </c>
      <c r="U638" s="3"/>
      <c r="V638" s="3"/>
      <c r="W638" s="3"/>
    </row>
    <row r="639" spans="1:23" x14ac:dyDescent="0.25">
      <c r="A639" s="2" t="s">
        <v>100</v>
      </c>
      <c r="B639" s="3" t="s">
        <v>778</v>
      </c>
      <c r="C639" s="2" t="str">
        <f>INDEX(รายการสาร!$B:$B,MATCH($B639,รายการสาร!$A:$A,0))</f>
        <v>methotrexate</v>
      </c>
      <c r="D639" s="2" t="str">
        <f>INDEX(รายการสาร!$C:$C,MATCH($B639,รายการสาร!$A:$A,0))</f>
        <v>methotrexate</v>
      </c>
      <c r="E639" s="2"/>
      <c r="F639" s="2" t="s">
        <v>719</v>
      </c>
      <c r="G639" s="3"/>
      <c r="H639" s="3"/>
      <c r="I639" s="3"/>
      <c r="J639" s="3"/>
      <c r="K639" s="3"/>
      <c r="L639" s="3"/>
      <c r="M639" s="3" t="s">
        <v>23</v>
      </c>
      <c r="N639" s="3"/>
      <c r="O639" s="3" t="s">
        <v>23</v>
      </c>
      <c r="P639" s="3"/>
      <c r="Q639" s="3" t="s">
        <v>23</v>
      </c>
      <c r="R639" s="3" t="s">
        <v>23</v>
      </c>
      <c r="S639" s="3" t="s">
        <v>23</v>
      </c>
      <c r="T639" s="3" t="s">
        <v>23</v>
      </c>
      <c r="U639" s="3"/>
      <c r="V639" s="3"/>
      <c r="W639" s="3"/>
    </row>
    <row r="640" spans="1:23" x14ac:dyDescent="0.25">
      <c r="A640" s="2" t="s">
        <v>100</v>
      </c>
      <c r="B640" s="3" t="s">
        <v>779</v>
      </c>
      <c r="C640" s="2" t="str">
        <f>INDEX(รายการสาร!$B:$B,MATCH($B640,รายการสาร!$A:$A,0))</f>
        <v>oxaliplatin</v>
      </c>
      <c r="D640" s="2" t="str">
        <f>INDEX(รายการสาร!$C:$C,MATCH($B640,รายการสาร!$A:$A,0))</f>
        <v>oxaliplatin</v>
      </c>
      <c r="E640" s="2"/>
      <c r="F640" s="2" t="s">
        <v>719</v>
      </c>
      <c r="G640" s="3"/>
      <c r="H640" s="3"/>
      <c r="I640" s="3"/>
      <c r="J640" s="3"/>
      <c r="K640" s="3"/>
      <c r="L640" s="3"/>
      <c r="M640" s="3" t="s">
        <v>23</v>
      </c>
      <c r="N640" s="3"/>
      <c r="O640" s="3" t="s">
        <v>23</v>
      </c>
      <c r="P640" s="3"/>
      <c r="Q640" s="3" t="s">
        <v>23</v>
      </c>
      <c r="R640" s="3" t="s">
        <v>23</v>
      </c>
      <c r="S640" s="3" t="s">
        <v>23</v>
      </c>
      <c r="T640" s="3" t="s">
        <v>23</v>
      </c>
      <c r="U640" s="3"/>
      <c r="V640" s="3"/>
      <c r="W640" s="3"/>
    </row>
    <row r="641" spans="1:23" x14ac:dyDescent="0.25">
      <c r="A641" s="2" t="s">
        <v>100</v>
      </c>
      <c r="B641" s="3" t="s">
        <v>780</v>
      </c>
      <c r="C641" s="2" t="str">
        <f>INDEX(รายการสาร!$B:$B,MATCH($B641,รายการสาร!$A:$A,0))</f>
        <v>paclitaxel</v>
      </c>
      <c r="D641" s="2" t="str">
        <f>INDEX(รายการสาร!$C:$C,MATCH($B641,รายการสาร!$A:$A,0))</f>
        <v>paclitaxel</v>
      </c>
      <c r="E641" s="2"/>
      <c r="F641" s="2" t="s">
        <v>719</v>
      </c>
      <c r="G641" s="3"/>
      <c r="H641" s="3"/>
      <c r="I641" s="3"/>
      <c r="J641" s="3"/>
      <c r="K641" s="3"/>
      <c r="L641" s="3"/>
      <c r="M641" s="3" t="s">
        <v>23</v>
      </c>
      <c r="N641" s="3"/>
      <c r="O641" s="3" t="s">
        <v>23</v>
      </c>
      <c r="P641" s="3"/>
      <c r="Q641" s="3" t="s">
        <v>23</v>
      </c>
      <c r="R641" s="3" t="s">
        <v>23</v>
      </c>
      <c r="S641" s="3" t="s">
        <v>23</v>
      </c>
      <c r="T641" s="3" t="s">
        <v>23</v>
      </c>
      <c r="U641" s="3"/>
      <c r="V641" s="3"/>
      <c r="W641" s="3"/>
    </row>
    <row r="642" spans="1:23" x14ac:dyDescent="0.25">
      <c r="A642" s="2" t="s">
        <v>100</v>
      </c>
      <c r="B642" s="3" t="s">
        <v>781</v>
      </c>
      <c r="C642" s="2" t="str">
        <f>INDEX(รายการสาร!$B:$B,MATCH($B642,รายการสาร!$A:$A,0))</f>
        <v>vinorelbine</v>
      </c>
      <c r="D642" s="2" t="str">
        <f>INDEX(รายการสาร!$C:$C,MATCH($B642,รายการสาร!$A:$A,0))</f>
        <v>vinorelbine</v>
      </c>
      <c r="E642" s="2"/>
      <c r="F642" s="2" t="s">
        <v>719</v>
      </c>
      <c r="G642" s="3"/>
      <c r="H642" s="3"/>
      <c r="I642" s="3"/>
      <c r="J642" s="3"/>
      <c r="K642" s="3"/>
      <c r="L642" s="3"/>
      <c r="M642" s="3" t="s">
        <v>23</v>
      </c>
      <c r="N642" s="3"/>
      <c r="O642" s="3" t="s">
        <v>23</v>
      </c>
      <c r="P642" s="3"/>
      <c r="Q642" s="3" t="s">
        <v>23</v>
      </c>
      <c r="R642" s="3" t="s">
        <v>23</v>
      </c>
      <c r="S642" s="3" t="s">
        <v>23</v>
      </c>
      <c r="T642" s="3" t="s">
        <v>23</v>
      </c>
      <c r="U642" s="3"/>
      <c r="V642" s="3"/>
      <c r="W642" s="3"/>
    </row>
    <row r="643" spans="1:23" x14ac:dyDescent="0.25">
      <c r="A643" s="2" t="s">
        <v>100</v>
      </c>
      <c r="B643" s="3" t="s">
        <v>782</v>
      </c>
      <c r="C643" s="2" t="str">
        <f>INDEX(รายการสาร!$B:$B,MATCH($B643,รายการสาร!$A:$A,0))</f>
        <v>vincristine</v>
      </c>
      <c r="D643" s="2" t="str">
        <f>INDEX(รายการสาร!$C:$C,MATCH($B643,รายการสาร!$A:$A,0))</f>
        <v>vincristine</v>
      </c>
      <c r="E643" s="2"/>
      <c r="F643" s="2" t="s">
        <v>719</v>
      </c>
      <c r="G643" s="3"/>
      <c r="H643" s="3"/>
      <c r="I643" s="3"/>
      <c r="J643" s="3"/>
      <c r="K643" s="3"/>
      <c r="L643" s="3"/>
      <c r="M643" s="3" t="s">
        <v>23</v>
      </c>
      <c r="N643" s="3"/>
      <c r="O643" s="3" t="s">
        <v>23</v>
      </c>
      <c r="P643" s="3"/>
      <c r="Q643" s="3" t="s">
        <v>23</v>
      </c>
      <c r="R643" s="3" t="s">
        <v>23</v>
      </c>
      <c r="S643" s="3" t="s">
        <v>23</v>
      </c>
      <c r="T643" s="3" t="s">
        <v>23</v>
      </c>
      <c r="U643" s="3"/>
      <c r="V643" s="3"/>
      <c r="W643" s="3"/>
    </row>
    <row r="644" spans="1:23" x14ac:dyDescent="0.25">
      <c r="A644" s="2" t="s">
        <v>52</v>
      </c>
      <c r="B644" s="3" t="s">
        <v>783</v>
      </c>
      <c r="C644" s="2" t="str">
        <f>INDEX(รายการสาร!$B:$B,MATCH($B644,รายการสาร!$A:$A,0))</f>
        <v>เอเมอเริล มัลติ-เซอร์เฟส ครีม คลีนเซอร์</v>
      </c>
      <c r="D644" s="2" t="str">
        <f>INDEX(รายการสาร!$C:$C,MATCH($B644,รายการสาร!$A:$A,0))</f>
        <v>Emerel</v>
      </c>
      <c r="E644" s="2" t="s">
        <v>784</v>
      </c>
      <c r="F644" s="2" t="s">
        <v>785</v>
      </c>
      <c r="G644" s="3"/>
      <c r="H644" s="3"/>
      <c r="I644" s="3"/>
      <c r="J644" s="3"/>
      <c r="K644" s="3" t="s">
        <v>23</v>
      </c>
      <c r="L644" s="3"/>
      <c r="M644" s="3"/>
      <c r="N644" s="3"/>
      <c r="O644" s="3" t="s">
        <v>23</v>
      </c>
      <c r="P644" s="3"/>
      <c r="Q644" s="3" t="s">
        <v>23</v>
      </c>
      <c r="R644" s="3" t="s">
        <v>23</v>
      </c>
      <c r="S644" s="3" t="s">
        <v>23</v>
      </c>
      <c r="T644" s="3"/>
      <c r="U644" s="3" t="s">
        <v>23</v>
      </c>
      <c r="V644" s="3"/>
      <c r="W644" s="3"/>
    </row>
    <row r="645" spans="1:23" x14ac:dyDescent="0.25">
      <c r="A645" s="2" t="s">
        <v>52</v>
      </c>
      <c r="B645" s="3" t="s">
        <v>786</v>
      </c>
      <c r="C645" s="2" t="str">
        <f>INDEX(รายการสาร!$B:$B,MATCH($B645,รายการสาร!$A:$A,0))</f>
        <v>2-butoxyethanol</v>
      </c>
      <c r="D645" s="2" t="str">
        <f>INDEX(รายการสาร!$C:$C,MATCH($B645,รายการสาร!$A:$A,0))</f>
        <v>Glance HC</v>
      </c>
      <c r="E645" s="2" t="s">
        <v>787</v>
      </c>
      <c r="F645" s="2" t="s">
        <v>785</v>
      </c>
      <c r="G645" s="3"/>
      <c r="H645" s="3"/>
      <c r="I645" s="3"/>
      <c r="J645" s="3"/>
      <c r="K645" s="3" t="s">
        <v>23</v>
      </c>
      <c r="L645" s="3"/>
      <c r="M645" s="3"/>
      <c r="N645" s="3"/>
      <c r="O645" s="3" t="s">
        <v>23</v>
      </c>
      <c r="P645" s="3"/>
      <c r="Q645" s="3" t="s">
        <v>23</v>
      </c>
      <c r="R645" s="3" t="s">
        <v>23</v>
      </c>
      <c r="S645" s="3" t="s">
        <v>23</v>
      </c>
      <c r="T645" s="3"/>
      <c r="U645" s="3"/>
      <c r="V645" s="3"/>
      <c r="W645" s="3"/>
    </row>
    <row r="646" spans="1:23" x14ac:dyDescent="0.25">
      <c r="A646" s="2" t="s">
        <v>52</v>
      </c>
      <c r="B646" s="3" t="s">
        <v>788</v>
      </c>
      <c r="C646" s="2" t="str">
        <f>INDEX(รายการสาร!$B:$B,MATCH($B646,รายการสาร!$A:$A,0))</f>
        <v>Butyl Cellosolve, Sodium Xylene Sulfonate</v>
      </c>
      <c r="D646" s="2" t="str">
        <f>INDEX(รายการสาร!$C:$C,MATCH($B646,รายการสาร!$A:$A,0))</f>
        <v>J-SHOP 600</v>
      </c>
      <c r="E646" s="2" t="s">
        <v>367</v>
      </c>
      <c r="F646" s="2" t="s">
        <v>785</v>
      </c>
      <c r="G646" s="3"/>
      <c r="H646" s="3"/>
      <c r="I646" s="3"/>
      <c r="J646" s="3"/>
      <c r="K646" s="3" t="s">
        <v>23</v>
      </c>
      <c r="L646" s="3"/>
      <c r="M646" s="3"/>
      <c r="N646" s="3"/>
      <c r="O646" s="3" t="s">
        <v>23</v>
      </c>
      <c r="P646" s="3"/>
      <c r="Q646" s="3" t="s">
        <v>23</v>
      </c>
      <c r="R646" s="3" t="s">
        <v>23</v>
      </c>
      <c r="S646" s="3" t="s">
        <v>23</v>
      </c>
      <c r="T646" s="3"/>
      <c r="U646" s="3"/>
      <c r="V646" s="3"/>
      <c r="W646" s="3"/>
    </row>
    <row r="647" spans="1:23" x14ac:dyDescent="0.25">
      <c r="A647" s="2" t="s">
        <v>52</v>
      </c>
      <c r="B647" s="3" t="s">
        <v>789</v>
      </c>
      <c r="C647" s="2" t="str">
        <f>INDEX(รายการสาร!$B:$B,MATCH($B647,รายการสาร!$A:$A,0))</f>
        <v>Alcohol ethoxylates</v>
      </c>
      <c r="D647" s="2" t="str">
        <f>INDEX(รายการสาร!$C:$C,MATCH($B647,รายการสาร!$A:$A,0))</f>
        <v>Stride Floral HC</v>
      </c>
      <c r="E647" s="2" t="s">
        <v>787</v>
      </c>
      <c r="F647" s="2" t="s">
        <v>785</v>
      </c>
      <c r="G647" s="3"/>
      <c r="H647" s="3"/>
      <c r="I647" s="3"/>
      <c r="J647" s="3"/>
      <c r="K647" s="3" t="s">
        <v>23</v>
      </c>
      <c r="L647" s="3"/>
      <c r="M647" s="3"/>
      <c r="N647" s="3"/>
      <c r="O647" s="3" t="s">
        <v>23</v>
      </c>
      <c r="P647" s="3"/>
      <c r="Q647" s="3" t="s">
        <v>23</v>
      </c>
      <c r="R647" s="3" t="s">
        <v>23</v>
      </c>
      <c r="S647" s="3"/>
      <c r="T647" s="3"/>
      <c r="U647" s="3"/>
      <c r="V647" s="3"/>
      <c r="W647" s="3"/>
    </row>
    <row r="648" spans="1:23" x14ac:dyDescent="0.25">
      <c r="A648" s="2" t="s">
        <v>52</v>
      </c>
      <c r="B648" s="3" t="s">
        <v>53</v>
      </c>
      <c r="C648" s="2" t="str">
        <f>INDEX(รายการสาร!$B:$B,MATCH($B648,รายการสาร!$A:$A,0))</f>
        <v>Distillates (petroleum), hydrotreated light</v>
      </c>
      <c r="D648" s="2" t="str">
        <f>INDEX(รายการสาร!$C:$C,MATCH($B648,รายการสาร!$A:$A,0))</f>
        <v>Suma Inox</v>
      </c>
      <c r="E648" s="2" t="s">
        <v>367</v>
      </c>
      <c r="F648" s="2" t="s">
        <v>785</v>
      </c>
      <c r="G648" s="3"/>
      <c r="H648" s="3"/>
      <c r="I648" s="3"/>
      <c r="J648" s="3"/>
      <c r="K648" s="3"/>
      <c r="L648" s="3"/>
      <c r="M648" s="3"/>
      <c r="N648" s="3"/>
      <c r="O648" s="3" t="s">
        <v>23</v>
      </c>
      <c r="P648" s="3"/>
      <c r="Q648" s="3" t="s">
        <v>23</v>
      </c>
      <c r="R648" s="3" t="s">
        <v>23</v>
      </c>
      <c r="S648" s="3"/>
      <c r="T648" s="3"/>
      <c r="U648" s="3"/>
      <c r="V648" s="3"/>
      <c r="W648" s="3"/>
    </row>
    <row r="649" spans="1:23" x14ac:dyDescent="0.25">
      <c r="A649" s="2" t="s">
        <v>52</v>
      </c>
      <c r="B649" s="3" t="s">
        <v>790</v>
      </c>
      <c r="C649" s="2" t="str">
        <f>INDEX(รายการสาร!$B:$B,MATCH($B649,รายการสาร!$A:$A,0))</f>
        <v>Suma Saturn</v>
      </c>
      <c r="D649" s="2" t="str">
        <f>INDEX(รายการสาร!$C:$C,MATCH($B649,รายการสาร!$A:$A,0))</f>
        <v>Suma Saturn</v>
      </c>
      <c r="E649" s="2" t="s">
        <v>367</v>
      </c>
      <c r="F649" s="2" t="s">
        <v>785</v>
      </c>
      <c r="G649" s="3"/>
      <c r="H649" s="3"/>
      <c r="I649" s="3"/>
      <c r="J649" s="3"/>
      <c r="K649" s="3" t="s">
        <v>23</v>
      </c>
      <c r="L649" s="3"/>
      <c r="M649" s="3"/>
      <c r="N649" s="3" t="s">
        <v>23</v>
      </c>
      <c r="O649" s="3" t="s">
        <v>23</v>
      </c>
      <c r="P649" s="3"/>
      <c r="Q649" s="3" t="s">
        <v>23</v>
      </c>
      <c r="R649" s="3" t="s">
        <v>23</v>
      </c>
      <c r="S649" s="3" t="s">
        <v>23</v>
      </c>
      <c r="T649" s="3" t="s">
        <v>23</v>
      </c>
      <c r="U649" s="3" t="s">
        <v>23</v>
      </c>
      <c r="V649" s="3"/>
      <c r="W649" s="3"/>
    </row>
    <row r="650" spans="1:23" ht="27.6" customHeight="1" x14ac:dyDescent="0.25">
      <c r="A650" s="2" t="s">
        <v>52</v>
      </c>
      <c r="B650" s="3" t="s">
        <v>791</v>
      </c>
      <c r="C650" s="2" t="str">
        <f>INDEX(รายการสาร!$B:$B,MATCH($B650,รายการสาร!$A:$A,0))</f>
        <v>Sodium ABS, Sodium silicate, Sodium carbonate</v>
      </c>
      <c r="D650" s="2" t="str">
        <f>INDEX(รายการสาร!$C:$C,MATCH($B650,รายการสาร!$A:$A,0))</f>
        <v>Tempo</v>
      </c>
      <c r="E650" s="2" t="s">
        <v>792</v>
      </c>
      <c r="F650" s="2" t="s">
        <v>785</v>
      </c>
      <c r="G650" s="3"/>
      <c r="H650" s="3"/>
      <c r="I650" s="3"/>
      <c r="J650" s="3"/>
      <c r="K650" s="3" t="s">
        <v>23</v>
      </c>
      <c r="L650" s="3"/>
      <c r="M650" s="3"/>
      <c r="N650" s="3"/>
      <c r="O650" s="3" t="s">
        <v>23</v>
      </c>
      <c r="P650" s="3"/>
      <c r="Q650" s="3" t="s">
        <v>23</v>
      </c>
      <c r="R650" s="3" t="s">
        <v>23</v>
      </c>
      <c r="S650" s="3"/>
      <c r="T650" s="3"/>
      <c r="U650" s="3"/>
      <c r="V650" s="3"/>
      <c r="W650" s="3"/>
    </row>
    <row r="651" spans="1:23" ht="41.4" customHeight="1" x14ac:dyDescent="0.25">
      <c r="A651" s="2" t="s">
        <v>52</v>
      </c>
      <c r="B651" s="3" t="s">
        <v>793</v>
      </c>
      <c r="C651" s="2" t="str">
        <f>INDEX(รายการสาร!$B:$B,MATCH($B651,รายการสาร!$A:$A,0))</f>
        <v>N-Alkyl Dimethylbenzene Ammonium chloride, Tetrasodium Salt of EDTA, Didecyl Dimethyl Ammonium chloride</v>
      </c>
      <c r="D651" s="2" t="str">
        <f>INDEX(รายการสาร!$C:$C,MATCH($B651,รายการสาร!$A:$A,0))</f>
        <v>Virex 256</v>
      </c>
      <c r="E651" s="2" t="s">
        <v>787</v>
      </c>
      <c r="F651" s="2" t="s">
        <v>785</v>
      </c>
      <c r="G651" s="3"/>
      <c r="H651" s="3"/>
      <c r="I651" s="3"/>
      <c r="J651" s="3"/>
      <c r="K651" s="3" t="s">
        <v>23</v>
      </c>
      <c r="L651" s="3"/>
      <c r="M651" s="3"/>
      <c r="N651" s="3" t="s">
        <v>23</v>
      </c>
      <c r="O651" s="3" t="s">
        <v>23</v>
      </c>
      <c r="P651" s="3"/>
      <c r="Q651" s="3" t="s">
        <v>23</v>
      </c>
      <c r="R651" s="3" t="s">
        <v>23</v>
      </c>
      <c r="S651" s="3" t="s">
        <v>23</v>
      </c>
      <c r="T651" s="3" t="s">
        <v>23</v>
      </c>
      <c r="U651" s="3" t="s">
        <v>23</v>
      </c>
      <c r="V651" s="3"/>
      <c r="W651" s="3"/>
    </row>
    <row r="652" spans="1:23" ht="41.4" customHeight="1" x14ac:dyDescent="0.25">
      <c r="A652" s="2" t="s">
        <v>794</v>
      </c>
      <c r="B652" s="3" t="s">
        <v>113</v>
      </c>
      <c r="C652" s="2" t="str">
        <f>INDEX(รายการสาร!$B:$B,MATCH($B652,รายการสาร!$A:$A,0))</f>
        <v>น้ำยาล้างจาน</v>
      </c>
      <c r="D652" s="2" t="str">
        <f>INDEX(รายการสาร!$C:$C,MATCH($B652,รายการสาร!$A:$A,0))</f>
        <v>ไลปอนเอฟ หรือ มาวิน หรือ ซันไลต์</v>
      </c>
      <c r="E652" s="2" t="s">
        <v>509</v>
      </c>
      <c r="F652" s="2" t="s">
        <v>103</v>
      </c>
      <c r="G652" s="3"/>
      <c r="H652" s="3"/>
      <c r="I652" s="3"/>
      <c r="J652" s="3"/>
      <c r="K652" s="3"/>
      <c r="L652" s="3"/>
      <c r="M652" s="3"/>
      <c r="N652" s="3"/>
      <c r="O652" s="3" t="s">
        <v>23</v>
      </c>
      <c r="P652" s="3"/>
      <c r="Q652" s="3"/>
      <c r="R652" s="3"/>
      <c r="S652" s="3"/>
      <c r="T652" s="3"/>
      <c r="U652" s="3"/>
      <c r="V652" s="3"/>
      <c r="W652" s="3"/>
    </row>
    <row r="653" spans="1:23" ht="27.6" customHeight="1" x14ac:dyDescent="0.25">
      <c r="A653" s="2" t="s">
        <v>794</v>
      </c>
      <c r="B653" s="3" t="s">
        <v>680</v>
      </c>
      <c r="C653" s="2" t="str">
        <f>INDEX(รายการสาร!$B:$B,MATCH($B653,รายการสาร!$A:$A,0))</f>
        <v>70% Ethyl Alcohol</v>
      </c>
      <c r="D653" s="2" t="str">
        <f>INDEX(รายการสาร!$C:$C,MATCH($B653,รายการสาร!$A:$A,0))</f>
        <v>Preservative solution 70%</v>
      </c>
      <c r="E653" s="2" t="s">
        <v>795</v>
      </c>
      <c r="F653" s="2" t="s">
        <v>103</v>
      </c>
      <c r="G653" s="3"/>
      <c r="H653" s="3" t="s">
        <v>23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 t="s">
        <v>23</v>
      </c>
    </row>
    <row r="654" spans="1:23" ht="27.6" customHeight="1" x14ac:dyDescent="0.25">
      <c r="A654" s="2" t="s">
        <v>794</v>
      </c>
      <c r="B654" s="3" t="s">
        <v>60</v>
      </c>
      <c r="C654" s="2" t="str">
        <f>INDEX(รายการสาร!$B:$B,MATCH($B654,รายการสาร!$A:$A,0))</f>
        <v>GER-MA-WAY Disinfectant</v>
      </c>
      <c r="D654" s="2" t="str">
        <f>INDEX(รายการสาร!$C:$C,MATCH($B654,รายการสาร!$A:$A,0))</f>
        <v>GER-MA-WAY Disinfectant</v>
      </c>
      <c r="E654" s="2" t="s">
        <v>270</v>
      </c>
      <c r="F654" s="2" t="s">
        <v>103</v>
      </c>
      <c r="G654" s="3"/>
      <c r="H654" s="3"/>
      <c r="I654" s="3"/>
      <c r="J654" s="3"/>
      <c r="K654" s="3"/>
      <c r="L654" s="3"/>
      <c r="M654" s="3"/>
      <c r="N654" s="3"/>
      <c r="O654" s="3" t="s">
        <v>23</v>
      </c>
      <c r="P654" s="3"/>
      <c r="Q654" s="3"/>
      <c r="R654" s="3"/>
      <c r="S654" s="3"/>
      <c r="T654" s="3"/>
      <c r="U654" s="3"/>
      <c r="V654" s="3"/>
      <c r="W654" s="3"/>
    </row>
    <row r="655" spans="1:23" ht="27.6" customHeight="1" x14ac:dyDescent="0.25">
      <c r="A655" s="2" t="s">
        <v>794</v>
      </c>
      <c r="B655" s="3" t="s">
        <v>674</v>
      </c>
      <c r="C655" s="2" t="str">
        <f>INDEX(รายการสาร!$B:$B,MATCH($B655,รายการสาร!$A:$A,0))</f>
        <v>น้ำยาเติมหมึกแท่นประทับ</v>
      </c>
      <c r="D655" s="2" t="str">
        <f>INDEX(รายการสาร!$C:$C,MATCH($B655,รายการสาร!$A:$A,0))</f>
        <v>น้ำยาเติมหมึกแท่นประทับ</v>
      </c>
      <c r="E655" s="2" t="s">
        <v>605</v>
      </c>
      <c r="F655" s="2" t="s">
        <v>103</v>
      </c>
      <c r="G655" s="3"/>
      <c r="H655" s="3"/>
      <c r="I655" s="3"/>
      <c r="J655" s="3" t="s">
        <v>23</v>
      </c>
      <c r="K655" s="3"/>
      <c r="L655" s="3"/>
      <c r="M655" s="3"/>
      <c r="N655" s="3"/>
      <c r="O655" s="3"/>
      <c r="P655" s="3" t="s">
        <v>23</v>
      </c>
      <c r="Q655" s="3"/>
      <c r="R655" s="3"/>
      <c r="S655" s="3"/>
      <c r="T655" s="3"/>
      <c r="U655" s="3"/>
      <c r="V655" s="3"/>
      <c r="W655" s="3"/>
    </row>
    <row r="656" spans="1:23" x14ac:dyDescent="0.25">
      <c r="A656" s="2" t="s">
        <v>794</v>
      </c>
      <c r="B656" s="3" t="s">
        <v>35</v>
      </c>
      <c r="C656" s="2" t="str">
        <f>INDEX(รายการสาร!$B:$B,MATCH($B656,รายการสาร!$A:$A,0))</f>
        <v>Alcohol Gel</v>
      </c>
      <c r="D656" s="2" t="str">
        <f>INDEX(รายการสาร!$C:$C,MATCH($B656,รายการสาร!$A:$A,0))</f>
        <v>Clear Hand Gel</v>
      </c>
      <c r="E656" s="2" t="s">
        <v>796</v>
      </c>
      <c r="F656" s="2" t="s">
        <v>103</v>
      </c>
      <c r="G656" s="3"/>
      <c r="H656" s="3" t="s">
        <v>23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 t="s">
        <v>23</v>
      </c>
    </row>
    <row r="657" spans="1:23" x14ac:dyDescent="0.25">
      <c r="A657" s="2" t="s">
        <v>93</v>
      </c>
      <c r="B657" s="3" t="s">
        <v>35</v>
      </c>
      <c r="C657" s="2" t="str">
        <f>INDEX(รายการสาร!$B:$B,MATCH($B657,รายการสาร!$A:$A,0))</f>
        <v>Alcohol Gel</v>
      </c>
      <c r="D657" s="2" t="str">
        <f>INDEX(รายการสาร!$C:$C,MATCH($B657,รายการสาร!$A:$A,0))</f>
        <v>Clear Hand Gel</v>
      </c>
      <c r="E657" s="2" t="s">
        <v>797</v>
      </c>
      <c r="F657" s="2" t="s">
        <v>103</v>
      </c>
      <c r="G657" s="3"/>
      <c r="H657" s="3" t="s">
        <v>23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 t="s">
        <v>23</v>
      </c>
    </row>
    <row r="658" spans="1:23" x14ac:dyDescent="0.25">
      <c r="A658" s="2" t="s">
        <v>93</v>
      </c>
      <c r="B658" s="3" t="s">
        <v>91</v>
      </c>
      <c r="C658" s="2" t="str">
        <f>INDEX(รายการสาร!$B:$B,MATCH($B658,รายการสาร!$A:$A,0))</f>
        <v>Caviwipe</v>
      </c>
      <c r="D658" s="2" t="str">
        <f>INDEX(รายการสาร!$C:$C,MATCH($B658,รายการสาร!$A:$A,0))</f>
        <v>Caviwipe</v>
      </c>
      <c r="E658" s="2" t="s">
        <v>798</v>
      </c>
      <c r="F658" s="2" t="s">
        <v>103</v>
      </c>
      <c r="G658" s="3"/>
      <c r="H658" s="3" t="s">
        <v>23</v>
      </c>
      <c r="I658" s="3"/>
      <c r="J658" s="3"/>
      <c r="K658" s="3"/>
      <c r="L658" s="3"/>
      <c r="M658" s="3"/>
      <c r="N658" s="3"/>
      <c r="O658" s="3" t="s">
        <v>23</v>
      </c>
      <c r="P658" s="3"/>
      <c r="Q658" s="3"/>
      <c r="R658" s="3"/>
      <c r="S658" s="3"/>
      <c r="T658" s="3"/>
      <c r="U658" s="3"/>
      <c r="V658" s="3"/>
      <c r="W658" s="3" t="s">
        <v>23</v>
      </c>
    </row>
    <row r="659" spans="1:23" x14ac:dyDescent="0.25">
      <c r="A659" s="2" t="s">
        <v>93</v>
      </c>
      <c r="B659" s="3" t="s">
        <v>799</v>
      </c>
      <c r="C659" s="2" t="str">
        <f>INDEX(รายการสาร!$B:$B,MATCH($B659,รายการสาร!$A:$A,0))</f>
        <v>70 % Alcohol</v>
      </c>
      <c r="D659" s="2" t="str">
        <f>INDEX(รายการสาร!$C:$C,MATCH($B659,รายการสาร!$A:$A,0))</f>
        <v>70 % Alcohol</v>
      </c>
      <c r="E659" s="2" t="s">
        <v>800</v>
      </c>
      <c r="F659" s="2" t="s">
        <v>103</v>
      </c>
      <c r="G659" s="3"/>
      <c r="H659" s="3" t="s">
        <v>23</v>
      </c>
      <c r="I659" s="3"/>
      <c r="J659" s="3"/>
      <c r="K659" s="3"/>
      <c r="L659" s="3"/>
      <c r="M659" s="3"/>
      <c r="N659" s="3"/>
      <c r="O659" s="3" t="s">
        <v>23</v>
      </c>
      <c r="P659" s="3"/>
      <c r="Q659" s="3"/>
      <c r="R659" s="3"/>
      <c r="S659" s="3"/>
      <c r="T659" s="3"/>
      <c r="U659" s="3"/>
      <c r="V659" s="3"/>
      <c r="W659" s="3" t="s">
        <v>23</v>
      </c>
    </row>
    <row r="660" spans="1:23" x14ac:dyDescent="0.25">
      <c r="A660" s="2" t="s">
        <v>93</v>
      </c>
      <c r="B660" s="3" t="s">
        <v>801</v>
      </c>
      <c r="C660" s="2" t="str">
        <f>INDEX(รายการสาร!$B:$B,MATCH($B660,รายการสาร!$A:$A,0))</f>
        <v>Alcohol Pad</v>
      </c>
      <c r="D660" s="2" t="str">
        <f>INDEX(รายการสาร!$C:$C,MATCH($B660,รายการสาร!$A:$A,0))</f>
        <v>SOS</v>
      </c>
      <c r="E660" s="2" t="s">
        <v>802</v>
      </c>
      <c r="F660" s="2"/>
      <c r="G660" s="3"/>
      <c r="H660" s="3" t="s">
        <v>23</v>
      </c>
      <c r="I660" s="3"/>
      <c r="J660" s="3"/>
      <c r="K660" s="3"/>
      <c r="L660" s="3"/>
      <c r="M660" s="3"/>
      <c r="N660" s="3"/>
      <c r="O660" s="3" t="s">
        <v>23</v>
      </c>
      <c r="P660" s="3"/>
      <c r="Q660" s="3"/>
      <c r="R660" s="3"/>
      <c r="S660" s="3"/>
      <c r="T660" s="3"/>
      <c r="U660" s="3"/>
      <c r="V660" s="3"/>
      <c r="W660" s="3" t="s">
        <v>23</v>
      </c>
    </row>
    <row r="661" spans="1:23" x14ac:dyDescent="0.25">
      <c r="A661" s="2" t="s">
        <v>93</v>
      </c>
      <c r="B661" s="3" t="s">
        <v>803</v>
      </c>
      <c r="C661" s="2" t="str">
        <f>INDEX(รายการสาร!$B:$B,MATCH($B661,รายการสาร!$A:$A,0))</f>
        <v>Gel ล้างมือ</v>
      </c>
      <c r="D661" s="2" t="str">
        <f>INDEX(รายการสาร!$C:$C,MATCH($B661,รายการสาร!$A:$A,0))</f>
        <v>Virulex</v>
      </c>
      <c r="E661" s="2" t="s">
        <v>128</v>
      </c>
      <c r="F661" s="2" t="s">
        <v>117</v>
      </c>
      <c r="G661" s="3"/>
      <c r="H661" s="3" t="s">
        <v>23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 t="s">
        <v>23</v>
      </c>
    </row>
    <row r="662" spans="1:23" x14ac:dyDescent="0.25">
      <c r="A662" s="2" t="s">
        <v>93</v>
      </c>
      <c r="B662" s="3" t="s">
        <v>804</v>
      </c>
      <c r="C662" s="2" t="str">
        <f>INDEX(รายการสาร!$B:$B,MATCH($B662,รายการสาร!$A:$A,0))</f>
        <v>สบู่ล้างมือ</v>
      </c>
      <c r="D662" s="2" t="str">
        <f>INDEX(รายการสาร!$C:$C,MATCH($B662,รายการสาร!$A:$A,0))</f>
        <v>Kimcare</v>
      </c>
      <c r="E662" s="2" t="s">
        <v>128</v>
      </c>
      <c r="F662" s="2" t="s">
        <v>117</v>
      </c>
      <c r="G662" s="3"/>
      <c r="H662" s="3" t="s">
        <v>23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 t="s">
        <v>23</v>
      </c>
    </row>
  </sheetData>
  <autoFilter ref="A1:W66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8"/>
  <sheetViews>
    <sheetView workbookViewId="0">
      <pane ySplit="1" topLeftCell="A18" activePane="bottomLeft" state="frozen"/>
      <selection pane="bottomLeft" activeCell="C25" sqref="C25"/>
    </sheetView>
  </sheetViews>
  <sheetFormatPr defaultRowHeight="13.8" x14ac:dyDescent="0.25"/>
  <cols>
    <col min="1" max="1" width="13" customWidth="1"/>
    <col min="2" max="3" width="55" customWidth="1"/>
  </cols>
  <sheetData>
    <row r="1" spans="1:3" ht="30" customHeight="1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107</v>
      </c>
      <c r="B2" s="2" t="s">
        <v>805</v>
      </c>
      <c r="C2" s="2" t="s">
        <v>806</v>
      </c>
    </row>
    <row r="3" spans="1:3" x14ac:dyDescent="0.25">
      <c r="A3" s="2" t="s">
        <v>110</v>
      </c>
      <c r="B3" s="2" t="s">
        <v>807</v>
      </c>
      <c r="C3" s="2" t="s">
        <v>808</v>
      </c>
    </row>
    <row r="4" spans="1:3" ht="110.4" customHeight="1" x14ac:dyDescent="0.25">
      <c r="A4" s="2" t="s">
        <v>20</v>
      </c>
      <c r="B4" s="2" t="s">
        <v>21</v>
      </c>
      <c r="C4" s="2" t="s">
        <v>22</v>
      </c>
    </row>
    <row r="5" spans="1:3" ht="138" customHeight="1" x14ac:dyDescent="0.25">
      <c r="A5" s="2" t="s">
        <v>113</v>
      </c>
      <c r="B5" s="2" t="s">
        <v>809</v>
      </c>
      <c r="C5" s="2" t="s">
        <v>810</v>
      </c>
    </row>
    <row r="6" spans="1:3" x14ac:dyDescent="0.25">
      <c r="A6" s="2" t="s">
        <v>115</v>
      </c>
      <c r="B6" s="2" t="s">
        <v>811</v>
      </c>
      <c r="C6" s="2" t="s">
        <v>811</v>
      </c>
    </row>
    <row r="7" spans="1:3" ht="55.2" customHeight="1" x14ac:dyDescent="0.25">
      <c r="A7" s="2" t="s">
        <v>26</v>
      </c>
      <c r="B7" s="2" t="s">
        <v>27</v>
      </c>
      <c r="C7" s="2" t="s">
        <v>28</v>
      </c>
    </row>
    <row r="8" spans="1:3" ht="69" customHeight="1" x14ac:dyDescent="0.25">
      <c r="A8" s="2" t="s">
        <v>30</v>
      </c>
      <c r="B8" s="2" t="s">
        <v>31</v>
      </c>
      <c r="C8" s="2" t="s">
        <v>31</v>
      </c>
    </row>
    <row r="9" spans="1:3" x14ac:dyDescent="0.25">
      <c r="A9" s="2" t="s">
        <v>124</v>
      </c>
      <c r="B9" s="2" t="s">
        <v>812</v>
      </c>
      <c r="C9" s="2" t="s">
        <v>812</v>
      </c>
    </row>
    <row r="10" spans="1:3" ht="27.6" customHeight="1" x14ac:dyDescent="0.25">
      <c r="A10" s="2" t="s">
        <v>126</v>
      </c>
      <c r="B10" s="2" t="s">
        <v>813</v>
      </c>
      <c r="C10" s="2" t="s">
        <v>814</v>
      </c>
    </row>
    <row r="11" spans="1:3" ht="96.6" customHeight="1" x14ac:dyDescent="0.25">
      <c r="A11" s="2" t="s">
        <v>32</v>
      </c>
      <c r="B11" s="2" t="s">
        <v>33</v>
      </c>
      <c r="C11" s="2" t="s">
        <v>34</v>
      </c>
    </row>
    <row r="12" spans="1:3" ht="96.6" customHeight="1" x14ac:dyDescent="0.25">
      <c r="A12" s="2" t="s">
        <v>35</v>
      </c>
      <c r="B12" s="2" t="s">
        <v>36</v>
      </c>
      <c r="C12" s="2" t="s">
        <v>37</v>
      </c>
    </row>
    <row r="13" spans="1:3" ht="69" customHeight="1" x14ac:dyDescent="0.25">
      <c r="A13" s="2" t="s">
        <v>40</v>
      </c>
      <c r="B13" s="2" t="s">
        <v>41</v>
      </c>
      <c r="C13" s="2" t="s">
        <v>41</v>
      </c>
    </row>
    <row r="14" spans="1:3" ht="41.4" customHeight="1" x14ac:dyDescent="0.25">
      <c r="A14" s="2" t="s">
        <v>42</v>
      </c>
      <c r="B14" s="2" t="s">
        <v>43</v>
      </c>
      <c r="C14" s="2" t="s">
        <v>44</v>
      </c>
    </row>
    <row r="15" spans="1:3" x14ac:dyDescent="0.25">
      <c r="A15" s="2" t="s">
        <v>133</v>
      </c>
      <c r="B15" s="2" t="s">
        <v>815</v>
      </c>
      <c r="C15" s="2" t="s">
        <v>815</v>
      </c>
    </row>
    <row r="16" spans="1:3" x14ac:dyDescent="0.25">
      <c r="A16" s="2" t="s">
        <v>135</v>
      </c>
      <c r="B16" s="2" t="s">
        <v>816</v>
      </c>
      <c r="C16" s="2" t="s">
        <v>816</v>
      </c>
    </row>
    <row r="17" spans="1:3" x14ac:dyDescent="0.25">
      <c r="A17" s="2" t="s">
        <v>137</v>
      </c>
      <c r="B17" s="2" t="s">
        <v>817</v>
      </c>
      <c r="C17" s="2" t="s">
        <v>817</v>
      </c>
    </row>
    <row r="18" spans="1:3" ht="110.4" customHeight="1" x14ac:dyDescent="0.25">
      <c r="A18" s="2" t="s">
        <v>45</v>
      </c>
      <c r="B18" s="2" t="s">
        <v>46</v>
      </c>
      <c r="C18" s="2" t="s">
        <v>47</v>
      </c>
    </row>
    <row r="19" spans="1:3" x14ac:dyDescent="0.25">
      <c r="A19" s="2" t="s">
        <v>140</v>
      </c>
      <c r="B19" s="2" t="s">
        <v>818</v>
      </c>
      <c r="C19" s="2" t="s">
        <v>819</v>
      </c>
    </row>
    <row r="20" spans="1:3" x14ac:dyDescent="0.25">
      <c r="A20" s="2" t="s">
        <v>143</v>
      </c>
      <c r="B20" s="2" t="s">
        <v>820</v>
      </c>
      <c r="C20" s="2" t="s">
        <v>821</v>
      </c>
    </row>
    <row r="21" spans="1:3" x14ac:dyDescent="0.25">
      <c r="A21" s="2" t="s">
        <v>145</v>
      </c>
      <c r="B21" s="2" t="s">
        <v>822</v>
      </c>
      <c r="C21" s="2" t="s">
        <v>822</v>
      </c>
    </row>
    <row r="22" spans="1:3" x14ac:dyDescent="0.25">
      <c r="A22" s="2" t="s">
        <v>147</v>
      </c>
      <c r="B22" s="2" t="s">
        <v>823</v>
      </c>
      <c r="C22" s="2" t="s">
        <v>824</v>
      </c>
    </row>
    <row r="23" spans="1:3" x14ac:dyDescent="0.25">
      <c r="A23" s="2" t="s">
        <v>149</v>
      </c>
      <c r="B23" s="2" t="s">
        <v>54</v>
      </c>
      <c r="C23" s="2" t="s">
        <v>825</v>
      </c>
    </row>
    <row r="24" spans="1:3" x14ac:dyDescent="0.25">
      <c r="A24" s="2" t="s">
        <v>151</v>
      </c>
      <c r="B24" s="2" t="s">
        <v>54</v>
      </c>
      <c r="C24" s="2" t="s">
        <v>826</v>
      </c>
    </row>
    <row r="25" spans="1:3" x14ac:dyDescent="0.25">
      <c r="A25" s="2" t="s">
        <v>152</v>
      </c>
      <c r="B25" s="2" t="s">
        <v>827</v>
      </c>
      <c r="C25" s="2" t="s">
        <v>827</v>
      </c>
    </row>
    <row r="26" spans="1:3" x14ac:dyDescent="0.25">
      <c r="A26" s="2" t="s">
        <v>154</v>
      </c>
      <c r="B26" s="2" t="s">
        <v>828</v>
      </c>
      <c r="C26" s="2" t="s">
        <v>828</v>
      </c>
    </row>
    <row r="27" spans="1:3" x14ac:dyDescent="0.25">
      <c r="A27" s="2" t="s">
        <v>156</v>
      </c>
      <c r="B27" s="2" t="s">
        <v>829</v>
      </c>
      <c r="C27" s="2" t="s">
        <v>830</v>
      </c>
    </row>
    <row r="28" spans="1:3" ht="27.6" customHeight="1" x14ac:dyDescent="0.25">
      <c r="A28" s="2" t="s">
        <v>48</v>
      </c>
      <c r="B28" s="2" t="s">
        <v>49</v>
      </c>
      <c r="C28" s="2" t="s">
        <v>50</v>
      </c>
    </row>
    <row r="29" spans="1:3" x14ac:dyDescent="0.25">
      <c r="A29" s="2" t="s">
        <v>158</v>
      </c>
      <c r="B29" s="2" t="s">
        <v>831</v>
      </c>
      <c r="C29" s="2" t="s">
        <v>831</v>
      </c>
    </row>
    <row r="30" spans="1:3" x14ac:dyDescent="0.25">
      <c r="A30" s="2" t="s">
        <v>159</v>
      </c>
      <c r="B30" s="2" t="s">
        <v>832</v>
      </c>
      <c r="C30" s="2" t="s">
        <v>833</v>
      </c>
    </row>
    <row r="31" spans="1:3" x14ac:dyDescent="0.25">
      <c r="A31" s="2" t="s">
        <v>161</v>
      </c>
      <c r="B31" s="2" t="s">
        <v>834</v>
      </c>
      <c r="C31" s="2" t="s">
        <v>835</v>
      </c>
    </row>
    <row r="32" spans="1:3" x14ac:dyDescent="0.25">
      <c r="A32" s="2" t="s">
        <v>162</v>
      </c>
      <c r="B32" s="2" t="s">
        <v>836</v>
      </c>
      <c r="C32" s="2" t="s">
        <v>836</v>
      </c>
    </row>
    <row r="33" spans="1:3" x14ac:dyDescent="0.25">
      <c r="A33" s="2" t="s">
        <v>163</v>
      </c>
      <c r="B33" s="2" t="s">
        <v>837</v>
      </c>
      <c r="C33" s="2" t="s">
        <v>837</v>
      </c>
    </row>
    <row r="34" spans="1:3" x14ac:dyDescent="0.25">
      <c r="A34" s="2" t="s">
        <v>164</v>
      </c>
      <c r="B34" s="2" t="s">
        <v>838</v>
      </c>
      <c r="C34" s="2" t="s">
        <v>839</v>
      </c>
    </row>
    <row r="35" spans="1:3" x14ac:dyDescent="0.25">
      <c r="A35" s="2" t="s">
        <v>166</v>
      </c>
      <c r="B35" s="2" t="s">
        <v>840</v>
      </c>
      <c r="C35" s="2" t="s">
        <v>840</v>
      </c>
    </row>
    <row r="36" spans="1:3" x14ac:dyDescent="0.25">
      <c r="A36" s="2" t="s">
        <v>168</v>
      </c>
      <c r="B36" s="2" t="s">
        <v>841</v>
      </c>
      <c r="C36" s="2" t="s">
        <v>842</v>
      </c>
    </row>
    <row r="37" spans="1:3" x14ac:dyDescent="0.25">
      <c r="A37" s="2" t="s">
        <v>169</v>
      </c>
      <c r="B37" s="2" t="s">
        <v>843</v>
      </c>
      <c r="C37" s="2" t="s">
        <v>843</v>
      </c>
    </row>
    <row r="38" spans="1:3" x14ac:dyDescent="0.25">
      <c r="A38" s="2" t="s">
        <v>170</v>
      </c>
      <c r="B38" s="2" t="s">
        <v>844</v>
      </c>
      <c r="C38" s="2" t="s">
        <v>844</v>
      </c>
    </row>
    <row r="39" spans="1:3" x14ac:dyDescent="0.25">
      <c r="A39" s="2" t="s">
        <v>172</v>
      </c>
      <c r="B39" s="2" t="s">
        <v>845</v>
      </c>
      <c r="C39" s="2"/>
    </row>
    <row r="40" spans="1:3" x14ac:dyDescent="0.25">
      <c r="A40" s="2" t="s">
        <v>174</v>
      </c>
      <c r="B40" s="2" t="s">
        <v>846</v>
      </c>
      <c r="C40" s="2" t="s">
        <v>810</v>
      </c>
    </row>
    <row r="41" spans="1:3" x14ac:dyDescent="0.25">
      <c r="A41" s="2" t="s">
        <v>176</v>
      </c>
      <c r="B41" s="2" t="s">
        <v>847</v>
      </c>
      <c r="C41" s="2" t="s">
        <v>848</v>
      </c>
    </row>
    <row r="42" spans="1:3" x14ac:dyDescent="0.25">
      <c r="A42" s="2" t="s">
        <v>178</v>
      </c>
      <c r="B42" s="2" t="s">
        <v>849</v>
      </c>
      <c r="C42" s="2" t="s">
        <v>849</v>
      </c>
    </row>
    <row r="43" spans="1:3" ht="27.6" customHeight="1" x14ac:dyDescent="0.25">
      <c r="A43" s="2" t="s">
        <v>180</v>
      </c>
      <c r="B43" s="2" t="s">
        <v>33</v>
      </c>
      <c r="C43" s="2" t="s">
        <v>850</v>
      </c>
    </row>
    <row r="44" spans="1:3" x14ac:dyDescent="0.25">
      <c r="A44" s="2" t="s">
        <v>182</v>
      </c>
      <c r="B44" s="2" t="s">
        <v>851</v>
      </c>
      <c r="C44" s="2" t="s">
        <v>852</v>
      </c>
    </row>
    <row r="45" spans="1:3" x14ac:dyDescent="0.25">
      <c r="A45" s="2" t="s">
        <v>183</v>
      </c>
      <c r="B45" s="2" t="s">
        <v>853</v>
      </c>
      <c r="C45" s="2" t="s">
        <v>853</v>
      </c>
    </row>
    <row r="46" spans="1:3" x14ac:dyDescent="0.25">
      <c r="A46" s="2" t="s">
        <v>184</v>
      </c>
      <c r="B46" s="2" t="s">
        <v>854</v>
      </c>
      <c r="C46" s="2" t="s">
        <v>855</v>
      </c>
    </row>
    <row r="47" spans="1:3" x14ac:dyDescent="0.25">
      <c r="A47" s="2" t="s">
        <v>186</v>
      </c>
      <c r="B47" s="2" t="s">
        <v>856</v>
      </c>
      <c r="C47" s="2" t="s">
        <v>857</v>
      </c>
    </row>
    <row r="48" spans="1:3" x14ac:dyDescent="0.25">
      <c r="A48" s="2" t="s">
        <v>189</v>
      </c>
      <c r="B48" s="2" t="s">
        <v>858</v>
      </c>
      <c r="C48" s="2" t="s">
        <v>859</v>
      </c>
    </row>
    <row r="49" spans="1:3" x14ac:dyDescent="0.25">
      <c r="A49" s="2" t="s">
        <v>191</v>
      </c>
      <c r="B49" s="2" t="s">
        <v>860</v>
      </c>
      <c r="C49" s="2" t="s">
        <v>861</v>
      </c>
    </row>
    <row r="50" spans="1:3" ht="27.6" customHeight="1" x14ac:dyDescent="0.25">
      <c r="A50" s="2" t="s">
        <v>193</v>
      </c>
      <c r="B50" s="2" t="s">
        <v>862</v>
      </c>
      <c r="C50" s="2" t="s">
        <v>863</v>
      </c>
    </row>
    <row r="51" spans="1:3" x14ac:dyDescent="0.25">
      <c r="A51" s="2" t="s">
        <v>195</v>
      </c>
      <c r="B51" s="2" t="s">
        <v>864</v>
      </c>
      <c r="C51" s="2" t="s">
        <v>865</v>
      </c>
    </row>
    <row r="52" spans="1:3" x14ac:dyDescent="0.25">
      <c r="A52" s="2" t="s">
        <v>196</v>
      </c>
      <c r="B52" s="2" t="s">
        <v>866</v>
      </c>
      <c r="C52" s="2" t="s">
        <v>867</v>
      </c>
    </row>
    <row r="53" spans="1:3" ht="27.6" customHeight="1" x14ac:dyDescent="0.25">
      <c r="A53" s="2" t="s">
        <v>197</v>
      </c>
      <c r="B53" s="2" t="s">
        <v>868</v>
      </c>
      <c r="C53" s="2" t="s">
        <v>869</v>
      </c>
    </row>
    <row r="54" spans="1:3" x14ac:dyDescent="0.25">
      <c r="A54" s="2" t="s">
        <v>53</v>
      </c>
      <c r="B54" s="2" t="s">
        <v>54</v>
      </c>
      <c r="C54" s="2" t="s">
        <v>55</v>
      </c>
    </row>
    <row r="55" spans="1:3" x14ac:dyDescent="0.25">
      <c r="A55" s="2" t="s">
        <v>198</v>
      </c>
      <c r="B55" s="2" t="s">
        <v>870</v>
      </c>
      <c r="C55" s="2" t="s">
        <v>870</v>
      </c>
    </row>
    <row r="56" spans="1:3" x14ac:dyDescent="0.25">
      <c r="A56" s="2" t="s">
        <v>199</v>
      </c>
      <c r="B56" s="2" t="s">
        <v>871</v>
      </c>
      <c r="C56" s="2" t="s">
        <v>871</v>
      </c>
    </row>
    <row r="57" spans="1:3" x14ac:dyDescent="0.25">
      <c r="A57" s="2" t="s">
        <v>201</v>
      </c>
      <c r="B57" s="2" t="s">
        <v>872</v>
      </c>
      <c r="C57" s="2" t="s">
        <v>872</v>
      </c>
    </row>
    <row r="58" spans="1:3" x14ac:dyDescent="0.25">
      <c r="A58" s="2" t="s">
        <v>202</v>
      </c>
      <c r="B58" s="2" t="s">
        <v>873</v>
      </c>
      <c r="C58" s="2" t="s">
        <v>873</v>
      </c>
    </row>
    <row r="59" spans="1:3" x14ac:dyDescent="0.25">
      <c r="A59" s="2" t="s">
        <v>204</v>
      </c>
      <c r="B59" s="2" t="s">
        <v>874</v>
      </c>
      <c r="C59" s="2" t="s">
        <v>874</v>
      </c>
    </row>
    <row r="60" spans="1:3" ht="41.4" customHeight="1" x14ac:dyDescent="0.25">
      <c r="A60" s="2" t="s">
        <v>57</v>
      </c>
      <c r="B60" s="2" t="s">
        <v>58</v>
      </c>
      <c r="C60" s="2" t="s">
        <v>59</v>
      </c>
    </row>
    <row r="61" spans="1:3" x14ac:dyDescent="0.25">
      <c r="A61" s="2" t="s">
        <v>208</v>
      </c>
      <c r="B61" s="2" t="s">
        <v>809</v>
      </c>
      <c r="C61" s="2" t="s">
        <v>875</v>
      </c>
    </row>
    <row r="62" spans="1:3" x14ac:dyDescent="0.25">
      <c r="A62" s="2" t="s">
        <v>211</v>
      </c>
      <c r="B62" s="2" t="s">
        <v>876</v>
      </c>
      <c r="C62" s="2" t="s">
        <v>877</v>
      </c>
    </row>
    <row r="63" spans="1:3" x14ac:dyDescent="0.25">
      <c r="A63" s="2" t="s">
        <v>214</v>
      </c>
      <c r="B63" s="2" t="s">
        <v>878</v>
      </c>
      <c r="C63" s="2" t="s">
        <v>879</v>
      </c>
    </row>
    <row r="64" spans="1:3" x14ac:dyDescent="0.25">
      <c r="A64" s="2" t="s">
        <v>216</v>
      </c>
      <c r="B64" s="2" t="s">
        <v>880</v>
      </c>
      <c r="C64" s="2" t="s">
        <v>881</v>
      </c>
    </row>
    <row r="65" spans="1:3" x14ac:dyDescent="0.25">
      <c r="A65" s="2" t="s">
        <v>217</v>
      </c>
      <c r="B65" s="2" t="s">
        <v>882</v>
      </c>
      <c r="C65" s="2" t="s">
        <v>882</v>
      </c>
    </row>
    <row r="66" spans="1:3" ht="69" customHeight="1" x14ac:dyDescent="0.25">
      <c r="A66" s="2" t="s">
        <v>60</v>
      </c>
      <c r="B66" s="2" t="s">
        <v>61</v>
      </c>
      <c r="C66" s="2" t="s">
        <v>61</v>
      </c>
    </row>
    <row r="67" spans="1:3" x14ac:dyDescent="0.25">
      <c r="A67" s="2" t="s">
        <v>220</v>
      </c>
      <c r="B67" s="2" t="s">
        <v>883</v>
      </c>
      <c r="C67" s="2" t="s">
        <v>884</v>
      </c>
    </row>
    <row r="68" spans="1:3" x14ac:dyDescent="0.25">
      <c r="A68" s="2" t="s">
        <v>223</v>
      </c>
      <c r="B68" s="2" t="s">
        <v>885</v>
      </c>
      <c r="C68" s="2" t="s">
        <v>885</v>
      </c>
    </row>
    <row r="69" spans="1:3" x14ac:dyDescent="0.25">
      <c r="A69" s="2" t="s">
        <v>225</v>
      </c>
      <c r="B69" s="2" t="s">
        <v>886</v>
      </c>
      <c r="C69" s="2" t="s">
        <v>886</v>
      </c>
    </row>
    <row r="70" spans="1:3" x14ac:dyDescent="0.25">
      <c r="A70" s="2" t="s">
        <v>226</v>
      </c>
      <c r="B70" s="2" t="s">
        <v>887</v>
      </c>
      <c r="C70" s="2" t="s">
        <v>814</v>
      </c>
    </row>
    <row r="71" spans="1:3" x14ac:dyDescent="0.25">
      <c r="A71" s="2" t="s">
        <v>228</v>
      </c>
      <c r="B71" s="2" t="s">
        <v>888</v>
      </c>
      <c r="C71" s="2" t="s">
        <v>889</v>
      </c>
    </row>
    <row r="72" spans="1:3" x14ac:dyDescent="0.25">
      <c r="A72" s="2" t="s">
        <v>63</v>
      </c>
      <c r="B72" s="2" t="s">
        <v>64</v>
      </c>
      <c r="C72" s="2" t="s">
        <v>64</v>
      </c>
    </row>
    <row r="73" spans="1:3" x14ac:dyDescent="0.25">
      <c r="A73" s="2" t="s">
        <v>234</v>
      </c>
      <c r="B73" s="2" t="s">
        <v>809</v>
      </c>
      <c r="C73" s="2" t="s">
        <v>890</v>
      </c>
    </row>
    <row r="74" spans="1:3" x14ac:dyDescent="0.25">
      <c r="A74" s="2" t="s">
        <v>237</v>
      </c>
      <c r="B74" s="2" t="s">
        <v>21</v>
      </c>
      <c r="C74" s="2" t="s">
        <v>891</v>
      </c>
    </row>
    <row r="75" spans="1:3" x14ac:dyDescent="0.25">
      <c r="A75" s="2" t="s">
        <v>242</v>
      </c>
      <c r="B75" s="2" t="s">
        <v>892</v>
      </c>
      <c r="C75" s="2" t="s">
        <v>75</v>
      </c>
    </row>
    <row r="76" spans="1:3" ht="27.6" customHeight="1" x14ac:dyDescent="0.25">
      <c r="A76" s="2" t="s">
        <v>67</v>
      </c>
      <c r="B76" s="2" t="s">
        <v>68</v>
      </c>
      <c r="C76" s="2" t="s">
        <v>69</v>
      </c>
    </row>
    <row r="77" spans="1:3" x14ac:dyDescent="0.25">
      <c r="A77" s="2" t="s">
        <v>259</v>
      </c>
      <c r="B77" s="2" t="s">
        <v>882</v>
      </c>
      <c r="C77" s="2" t="s">
        <v>22</v>
      </c>
    </row>
    <row r="78" spans="1:3" x14ac:dyDescent="0.25">
      <c r="A78" s="2" t="s">
        <v>260</v>
      </c>
      <c r="B78" s="2" t="s">
        <v>893</v>
      </c>
      <c r="C78" s="2" t="s">
        <v>41</v>
      </c>
    </row>
    <row r="79" spans="1:3" x14ac:dyDescent="0.25">
      <c r="A79" s="2" t="s">
        <v>70</v>
      </c>
      <c r="B79" s="2" t="s">
        <v>71</v>
      </c>
      <c r="C79" s="2" t="s">
        <v>71</v>
      </c>
    </row>
    <row r="80" spans="1:3" ht="27.6" customHeight="1" x14ac:dyDescent="0.25">
      <c r="A80" s="2" t="s">
        <v>73</v>
      </c>
      <c r="B80" s="2" t="s">
        <v>74</v>
      </c>
      <c r="C80" s="2" t="s">
        <v>75</v>
      </c>
    </row>
    <row r="81" spans="1:3" x14ac:dyDescent="0.25">
      <c r="A81" s="2" t="s">
        <v>273</v>
      </c>
      <c r="B81" s="2" t="s">
        <v>893</v>
      </c>
      <c r="C81" s="2" t="s">
        <v>893</v>
      </c>
    </row>
    <row r="82" spans="1:3" ht="41.4" customHeight="1" x14ac:dyDescent="0.25">
      <c r="A82" s="2" t="s">
        <v>276</v>
      </c>
      <c r="B82" s="2" t="s">
        <v>36</v>
      </c>
      <c r="C82" s="2" t="s">
        <v>894</v>
      </c>
    </row>
    <row r="83" spans="1:3" x14ac:dyDescent="0.25">
      <c r="A83" s="2" t="s">
        <v>77</v>
      </c>
      <c r="B83" s="2" t="s">
        <v>78</v>
      </c>
      <c r="C83" s="2" t="s">
        <v>44</v>
      </c>
    </row>
    <row r="84" spans="1:3" x14ac:dyDescent="0.25">
      <c r="A84" s="2" t="s">
        <v>283</v>
      </c>
      <c r="B84" s="2" t="s">
        <v>895</v>
      </c>
      <c r="C84" s="2" t="s">
        <v>895</v>
      </c>
    </row>
    <row r="85" spans="1:3" x14ac:dyDescent="0.25">
      <c r="A85" s="2" t="s">
        <v>285</v>
      </c>
      <c r="B85" s="2" t="s">
        <v>896</v>
      </c>
      <c r="C85" s="2"/>
    </row>
    <row r="86" spans="1:3" x14ac:dyDescent="0.25">
      <c r="A86" s="2" t="s">
        <v>288</v>
      </c>
      <c r="B86" s="2" t="s">
        <v>897</v>
      </c>
      <c r="C86" s="2" t="s">
        <v>898</v>
      </c>
    </row>
    <row r="87" spans="1:3" x14ac:dyDescent="0.25">
      <c r="A87" s="2" t="s">
        <v>290</v>
      </c>
      <c r="B87" s="2" t="s">
        <v>899</v>
      </c>
      <c r="C87" s="2"/>
    </row>
    <row r="88" spans="1:3" x14ac:dyDescent="0.25">
      <c r="A88" s="2" t="s">
        <v>292</v>
      </c>
      <c r="B88" s="2" t="s">
        <v>900</v>
      </c>
      <c r="C88" s="2"/>
    </row>
    <row r="89" spans="1:3" x14ac:dyDescent="0.25">
      <c r="A89" s="2" t="s">
        <v>294</v>
      </c>
      <c r="B89" s="2" t="s">
        <v>901</v>
      </c>
      <c r="C89" s="2" t="s">
        <v>902</v>
      </c>
    </row>
    <row r="90" spans="1:3" x14ac:dyDescent="0.25">
      <c r="A90" s="2" t="s">
        <v>296</v>
      </c>
      <c r="B90" s="2" t="s">
        <v>903</v>
      </c>
      <c r="C90" s="2" t="s">
        <v>75</v>
      </c>
    </row>
    <row r="91" spans="1:3" x14ac:dyDescent="0.25">
      <c r="A91" s="2" t="s">
        <v>298</v>
      </c>
      <c r="B91" s="2" t="s">
        <v>904</v>
      </c>
      <c r="C91" s="2" t="s">
        <v>904</v>
      </c>
    </row>
    <row r="92" spans="1:3" x14ac:dyDescent="0.25">
      <c r="A92" s="2" t="s">
        <v>301</v>
      </c>
      <c r="B92" s="2" t="s">
        <v>905</v>
      </c>
      <c r="C92" s="2" t="s">
        <v>905</v>
      </c>
    </row>
    <row r="93" spans="1:3" x14ac:dyDescent="0.25">
      <c r="A93" s="2" t="s">
        <v>303</v>
      </c>
      <c r="B93" s="2" t="s">
        <v>906</v>
      </c>
      <c r="C93" s="2" t="s">
        <v>28</v>
      </c>
    </row>
    <row r="94" spans="1:3" x14ac:dyDescent="0.25">
      <c r="A94" s="2" t="s">
        <v>305</v>
      </c>
      <c r="B94" s="2" t="s">
        <v>907</v>
      </c>
      <c r="C94" s="2" t="s">
        <v>907</v>
      </c>
    </row>
    <row r="95" spans="1:3" x14ac:dyDescent="0.25">
      <c r="A95" s="2" t="s">
        <v>307</v>
      </c>
      <c r="B95" s="2" t="s">
        <v>908</v>
      </c>
      <c r="C95" s="2" t="s">
        <v>908</v>
      </c>
    </row>
    <row r="96" spans="1:3" ht="27.6" customHeight="1" x14ac:dyDescent="0.25">
      <c r="A96" s="2" t="s">
        <v>80</v>
      </c>
      <c r="B96" s="2" t="s">
        <v>81</v>
      </c>
      <c r="C96" s="2" t="s">
        <v>81</v>
      </c>
    </row>
    <row r="97" spans="1:3" x14ac:dyDescent="0.25">
      <c r="A97" s="2" t="s">
        <v>311</v>
      </c>
      <c r="B97" s="2" t="s">
        <v>909</v>
      </c>
      <c r="C97" s="2" t="s">
        <v>44</v>
      </c>
    </row>
    <row r="98" spans="1:3" x14ac:dyDescent="0.25">
      <c r="A98" s="2" t="s">
        <v>82</v>
      </c>
      <c r="B98" s="2" t="s">
        <v>83</v>
      </c>
      <c r="C98" s="2" t="s">
        <v>83</v>
      </c>
    </row>
    <row r="99" spans="1:3" x14ac:dyDescent="0.25">
      <c r="A99" s="2" t="s">
        <v>313</v>
      </c>
      <c r="B99" s="2" t="s">
        <v>910</v>
      </c>
      <c r="C99" s="2" t="s">
        <v>910</v>
      </c>
    </row>
    <row r="100" spans="1:3" x14ac:dyDescent="0.25">
      <c r="A100" s="2" t="s">
        <v>315</v>
      </c>
      <c r="B100" s="2" t="s">
        <v>911</v>
      </c>
      <c r="C100" s="2" t="s">
        <v>911</v>
      </c>
    </row>
    <row r="101" spans="1:3" x14ac:dyDescent="0.25">
      <c r="A101" s="2" t="s">
        <v>317</v>
      </c>
      <c r="B101" s="2" t="s">
        <v>912</v>
      </c>
      <c r="C101" s="2" t="s">
        <v>913</v>
      </c>
    </row>
    <row r="102" spans="1:3" x14ac:dyDescent="0.25">
      <c r="A102" s="2" t="s">
        <v>320</v>
      </c>
      <c r="B102" s="2" t="s">
        <v>914</v>
      </c>
      <c r="C102" s="2" t="s">
        <v>914</v>
      </c>
    </row>
    <row r="103" spans="1:3" x14ac:dyDescent="0.25">
      <c r="A103" s="2" t="s">
        <v>322</v>
      </c>
      <c r="B103" s="2" t="s">
        <v>915</v>
      </c>
      <c r="C103" s="2" t="s">
        <v>916</v>
      </c>
    </row>
    <row r="104" spans="1:3" x14ac:dyDescent="0.25">
      <c r="A104" s="2" t="s">
        <v>324</v>
      </c>
      <c r="B104" s="2" t="s">
        <v>917</v>
      </c>
      <c r="C104" s="2" t="s">
        <v>917</v>
      </c>
    </row>
    <row r="105" spans="1:3" x14ac:dyDescent="0.25">
      <c r="A105" s="2" t="s">
        <v>326</v>
      </c>
      <c r="B105" s="2" t="s">
        <v>918</v>
      </c>
      <c r="C105" s="2" t="s">
        <v>919</v>
      </c>
    </row>
    <row r="106" spans="1:3" x14ac:dyDescent="0.25">
      <c r="A106" s="2" t="s">
        <v>329</v>
      </c>
      <c r="B106" s="2" t="s">
        <v>920</v>
      </c>
      <c r="C106" s="2" t="s">
        <v>921</v>
      </c>
    </row>
    <row r="107" spans="1:3" x14ac:dyDescent="0.25">
      <c r="A107" s="2" t="s">
        <v>331</v>
      </c>
      <c r="B107" s="2" t="s">
        <v>922</v>
      </c>
      <c r="C107" s="2" t="s">
        <v>923</v>
      </c>
    </row>
    <row r="108" spans="1:3" x14ac:dyDescent="0.25">
      <c r="A108" s="2" t="s">
        <v>333</v>
      </c>
      <c r="B108" s="2" t="s">
        <v>924</v>
      </c>
      <c r="C108" s="2" t="s">
        <v>925</v>
      </c>
    </row>
    <row r="109" spans="1:3" x14ac:dyDescent="0.25">
      <c r="A109" s="2" t="s">
        <v>335</v>
      </c>
      <c r="B109" s="2" t="s">
        <v>926</v>
      </c>
      <c r="C109" s="2" t="s">
        <v>927</v>
      </c>
    </row>
    <row r="110" spans="1:3" x14ac:dyDescent="0.25">
      <c r="A110" s="2" t="s">
        <v>337</v>
      </c>
      <c r="B110" s="2" t="s">
        <v>928</v>
      </c>
      <c r="C110" s="2" t="s">
        <v>929</v>
      </c>
    </row>
    <row r="111" spans="1:3" x14ac:dyDescent="0.25">
      <c r="A111" s="2" t="s">
        <v>339</v>
      </c>
      <c r="B111" s="2" t="s">
        <v>930</v>
      </c>
      <c r="C111" s="2" t="s">
        <v>930</v>
      </c>
    </row>
    <row r="112" spans="1:3" x14ac:dyDescent="0.25">
      <c r="A112" s="2" t="s">
        <v>341</v>
      </c>
      <c r="B112" s="2" t="s">
        <v>931</v>
      </c>
      <c r="C112" s="2" t="s">
        <v>931</v>
      </c>
    </row>
    <row r="113" spans="1:3" x14ac:dyDescent="0.25">
      <c r="A113" s="2" t="s">
        <v>344</v>
      </c>
      <c r="B113" s="2" t="s">
        <v>932</v>
      </c>
      <c r="C113" s="2" t="s">
        <v>932</v>
      </c>
    </row>
    <row r="114" spans="1:3" x14ac:dyDescent="0.25">
      <c r="A114" s="2" t="s">
        <v>346</v>
      </c>
      <c r="B114" s="2" t="s">
        <v>933</v>
      </c>
      <c r="C114" s="2" t="s">
        <v>933</v>
      </c>
    </row>
    <row r="115" spans="1:3" x14ac:dyDescent="0.25">
      <c r="A115" s="2" t="s">
        <v>348</v>
      </c>
      <c r="B115" s="2" t="s">
        <v>934</v>
      </c>
      <c r="C115" s="2" t="s">
        <v>934</v>
      </c>
    </row>
    <row r="116" spans="1:3" ht="27.6" customHeight="1" x14ac:dyDescent="0.25">
      <c r="A116" s="2" t="s">
        <v>85</v>
      </c>
      <c r="B116" s="2" t="s">
        <v>86</v>
      </c>
      <c r="C116" s="2" t="s">
        <v>86</v>
      </c>
    </row>
    <row r="117" spans="1:3" x14ac:dyDescent="0.25">
      <c r="A117" s="2" t="s">
        <v>354</v>
      </c>
      <c r="B117" s="2" t="s">
        <v>935</v>
      </c>
      <c r="C117" s="2" t="s">
        <v>936</v>
      </c>
    </row>
    <row r="118" spans="1:3" x14ac:dyDescent="0.25">
      <c r="A118" s="2" t="s">
        <v>358</v>
      </c>
      <c r="B118" s="2" t="s">
        <v>937</v>
      </c>
      <c r="C118" s="2" t="s">
        <v>938</v>
      </c>
    </row>
    <row r="119" spans="1:3" x14ac:dyDescent="0.25">
      <c r="A119" s="2" t="s">
        <v>360</v>
      </c>
      <c r="B119" s="2" t="s">
        <v>939</v>
      </c>
      <c r="C119" s="2" t="s">
        <v>940</v>
      </c>
    </row>
    <row r="120" spans="1:3" x14ac:dyDescent="0.25">
      <c r="A120" s="2" t="s">
        <v>364</v>
      </c>
      <c r="B120" s="2" t="s">
        <v>941</v>
      </c>
      <c r="C120" s="2" t="s">
        <v>942</v>
      </c>
    </row>
    <row r="121" spans="1:3" x14ac:dyDescent="0.25">
      <c r="A121" s="2" t="s">
        <v>366</v>
      </c>
      <c r="B121" s="2" t="s">
        <v>943</v>
      </c>
      <c r="C121" s="2" t="s">
        <v>944</v>
      </c>
    </row>
    <row r="122" spans="1:3" x14ac:dyDescent="0.25">
      <c r="A122" s="2" t="s">
        <v>369</v>
      </c>
      <c r="B122" s="2" t="s">
        <v>945</v>
      </c>
      <c r="C122" s="2" t="s">
        <v>946</v>
      </c>
    </row>
    <row r="123" spans="1:3" x14ac:dyDescent="0.25">
      <c r="A123" s="2" t="s">
        <v>372</v>
      </c>
      <c r="B123" s="2" t="s">
        <v>947</v>
      </c>
      <c r="C123" s="2" t="s">
        <v>948</v>
      </c>
    </row>
    <row r="124" spans="1:3" x14ac:dyDescent="0.25">
      <c r="A124" s="2" t="s">
        <v>375</v>
      </c>
      <c r="B124" s="2" t="s">
        <v>949</v>
      </c>
      <c r="C124" s="2" t="s">
        <v>949</v>
      </c>
    </row>
    <row r="125" spans="1:3" x14ac:dyDescent="0.25">
      <c r="A125" s="2" t="s">
        <v>378</v>
      </c>
      <c r="B125" s="2" t="s">
        <v>950</v>
      </c>
      <c r="C125" s="2" t="s">
        <v>950</v>
      </c>
    </row>
    <row r="126" spans="1:3" x14ac:dyDescent="0.25">
      <c r="A126" s="2" t="s">
        <v>381</v>
      </c>
      <c r="B126" s="2" t="s">
        <v>951</v>
      </c>
      <c r="C126" s="2" t="s">
        <v>951</v>
      </c>
    </row>
    <row r="127" spans="1:3" x14ac:dyDescent="0.25">
      <c r="A127" s="2" t="s">
        <v>382</v>
      </c>
      <c r="B127" s="2" t="s">
        <v>952</v>
      </c>
      <c r="C127" s="2" t="s">
        <v>952</v>
      </c>
    </row>
    <row r="128" spans="1:3" x14ac:dyDescent="0.25">
      <c r="A128" s="2" t="s">
        <v>385</v>
      </c>
      <c r="B128" s="2" t="s">
        <v>953</v>
      </c>
      <c r="C128" s="2" t="s">
        <v>953</v>
      </c>
    </row>
    <row r="129" spans="1:3" x14ac:dyDescent="0.25">
      <c r="A129" s="2" t="s">
        <v>388</v>
      </c>
      <c r="B129" s="2" t="s">
        <v>954</v>
      </c>
      <c r="C129" s="2" t="s">
        <v>954</v>
      </c>
    </row>
    <row r="130" spans="1:3" x14ac:dyDescent="0.25">
      <c r="A130" s="2" t="s">
        <v>389</v>
      </c>
      <c r="B130" s="2" t="s">
        <v>955</v>
      </c>
      <c r="C130" s="2" t="s">
        <v>956</v>
      </c>
    </row>
    <row r="131" spans="1:3" x14ac:dyDescent="0.25">
      <c r="A131" s="2" t="s">
        <v>392</v>
      </c>
      <c r="B131" s="2" t="s">
        <v>957</v>
      </c>
      <c r="C131" s="2" t="s">
        <v>958</v>
      </c>
    </row>
    <row r="132" spans="1:3" x14ac:dyDescent="0.25">
      <c r="A132" s="2" t="s">
        <v>393</v>
      </c>
      <c r="B132" s="2" t="s">
        <v>959</v>
      </c>
      <c r="C132" s="2" t="s">
        <v>960</v>
      </c>
    </row>
    <row r="133" spans="1:3" x14ac:dyDescent="0.25">
      <c r="A133" s="2" t="s">
        <v>395</v>
      </c>
      <c r="B133" s="2" t="s">
        <v>961</v>
      </c>
      <c r="C133" s="2" t="s">
        <v>962</v>
      </c>
    </row>
    <row r="134" spans="1:3" x14ac:dyDescent="0.25">
      <c r="A134" s="2" t="s">
        <v>396</v>
      </c>
      <c r="B134" s="2" t="s">
        <v>963</v>
      </c>
      <c r="C134" s="2" t="s">
        <v>964</v>
      </c>
    </row>
    <row r="135" spans="1:3" x14ac:dyDescent="0.25">
      <c r="A135" s="2" t="s">
        <v>397</v>
      </c>
      <c r="B135" s="2" t="s">
        <v>965</v>
      </c>
      <c r="C135" s="2" t="s">
        <v>966</v>
      </c>
    </row>
    <row r="136" spans="1:3" x14ac:dyDescent="0.25">
      <c r="A136" s="2" t="s">
        <v>398</v>
      </c>
      <c r="B136" s="2" t="s">
        <v>967</v>
      </c>
      <c r="C136" s="2" t="s">
        <v>967</v>
      </c>
    </row>
    <row r="137" spans="1:3" x14ac:dyDescent="0.25">
      <c r="A137" s="2" t="s">
        <v>403</v>
      </c>
      <c r="B137" s="2" t="s">
        <v>968</v>
      </c>
      <c r="C137" s="2" t="s">
        <v>968</v>
      </c>
    </row>
    <row r="138" spans="1:3" x14ac:dyDescent="0.25">
      <c r="A138" s="2" t="s">
        <v>405</v>
      </c>
      <c r="B138" s="2" t="s">
        <v>969</v>
      </c>
      <c r="C138" s="2" t="s">
        <v>969</v>
      </c>
    </row>
    <row r="139" spans="1:3" x14ac:dyDescent="0.25">
      <c r="A139" s="2" t="s">
        <v>407</v>
      </c>
      <c r="B139" s="2" t="s">
        <v>970</v>
      </c>
      <c r="C139" s="2" t="s">
        <v>970</v>
      </c>
    </row>
    <row r="140" spans="1:3" x14ac:dyDescent="0.25">
      <c r="A140" s="2" t="s">
        <v>409</v>
      </c>
      <c r="B140" s="2" t="s">
        <v>971</v>
      </c>
      <c r="C140" s="2" t="s">
        <v>971</v>
      </c>
    </row>
    <row r="141" spans="1:3" x14ac:dyDescent="0.25">
      <c r="A141" s="2" t="s">
        <v>411</v>
      </c>
      <c r="B141" s="2" t="s">
        <v>972</v>
      </c>
      <c r="C141" s="2" t="s">
        <v>972</v>
      </c>
    </row>
    <row r="142" spans="1:3" x14ac:dyDescent="0.25">
      <c r="A142" s="2" t="s">
        <v>413</v>
      </c>
      <c r="B142" s="2" t="s">
        <v>973</v>
      </c>
      <c r="C142" s="2" t="s">
        <v>973</v>
      </c>
    </row>
    <row r="143" spans="1:3" x14ac:dyDescent="0.25">
      <c r="A143" s="2" t="s">
        <v>414</v>
      </c>
      <c r="B143" s="2" t="s">
        <v>974</v>
      </c>
      <c r="C143" s="2" t="s">
        <v>974</v>
      </c>
    </row>
    <row r="144" spans="1:3" x14ac:dyDescent="0.25">
      <c r="A144" s="2" t="s">
        <v>415</v>
      </c>
      <c r="B144" s="2" t="s">
        <v>975</v>
      </c>
      <c r="C144" s="2" t="s">
        <v>975</v>
      </c>
    </row>
    <row r="145" spans="1:3" x14ac:dyDescent="0.25">
      <c r="A145" s="2" t="s">
        <v>416</v>
      </c>
      <c r="B145" s="2" t="s">
        <v>976</v>
      </c>
      <c r="C145" s="2" t="s">
        <v>976</v>
      </c>
    </row>
    <row r="146" spans="1:3" x14ac:dyDescent="0.25">
      <c r="A146" s="2" t="s">
        <v>417</v>
      </c>
      <c r="B146" s="2" t="s">
        <v>977</v>
      </c>
      <c r="C146" s="2" t="s">
        <v>977</v>
      </c>
    </row>
    <row r="147" spans="1:3" x14ac:dyDescent="0.25">
      <c r="A147" s="2" t="s">
        <v>418</v>
      </c>
      <c r="B147" s="2" t="s">
        <v>978</v>
      </c>
      <c r="C147" s="2" t="s">
        <v>979</v>
      </c>
    </row>
    <row r="148" spans="1:3" x14ac:dyDescent="0.25">
      <c r="A148" s="2" t="s">
        <v>420</v>
      </c>
      <c r="B148" s="2" t="s">
        <v>980</v>
      </c>
      <c r="C148" s="2" t="s">
        <v>980</v>
      </c>
    </row>
    <row r="149" spans="1:3" x14ac:dyDescent="0.25">
      <c r="A149" s="2" t="s">
        <v>421</v>
      </c>
      <c r="B149" s="2" t="s">
        <v>981</v>
      </c>
      <c r="C149" s="2" t="s">
        <v>981</v>
      </c>
    </row>
    <row r="150" spans="1:3" x14ac:dyDescent="0.25">
      <c r="A150" s="2" t="s">
        <v>422</v>
      </c>
      <c r="B150" s="2" t="s">
        <v>982</v>
      </c>
      <c r="C150" s="2" t="s">
        <v>982</v>
      </c>
    </row>
    <row r="151" spans="1:3" ht="27.6" customHeight="1" x14ac:dyDescent="0.25">
      <c r="A151" s="2" t="s">
        <v>424</v>
      </c>
      <c r="B151" s="2" t="s">
        <v>983</v>
      </c>
      <c r="C151" s="2"/>
    </row>
    <row r="152" spans="1:3" x14ac:dyDescent="0.25">
      <c r="A152" s="2" t="s">
        <v>428</v>
      </c>
      <c r="B152" s="2" t="s">
        <v>984</v>
      </c>
      <c r="C152" s="2" t="s">
        <v>984</v>
      </c>
    </row>
    <row r="153" spans="1:3" x14ac:dyDescent="0.25">
      <c r="A153" s="2" t="s">
        <v>430</v>
      </c>
      <c r="B153" s="2" t="s">
        <v>985</v>
      </c>
      <c r="C153" s="2" t="s">
        <v>986</v>
      </c>
    </row>
    <row r="154" spans="1:3" x14ac:dyDescent="0.25">
      <c r="A154" s="2" t="s">
        <v>432</v>
      </c>
      <c r="B154" s="2" t="s">
        <v>987</v>
      </c>
      <c r="C154" s="2" t="s">
        <v>987</v>
      </c>
    </row>
    <row r="155" spans="1:3" x14ac:dyDescent="0.25">
      <c r="A155" s="2" t="s">
        <v>433</v>
      </c>
      <c r="B155" s="2" t="s">
        <v>988</v>
      </c>
      <c r="C155" s="2" t="s">
        <v>988</v>
      </c>
    </row>
    <row r="156" spans="1:3" x14ac:dyDescent="0.25">
      <c r="A156" s="2" t="s">
        <v>434</v>
      </c>
      <c r="B156" s="2" t="s">
        <v>989</v>
      </c>
      <c r="C156" s="2" t="s">
        <v>989</v>
      </c>
    </row>
    <row r="157" spans="1:3" x14ac:dyDescent="0.25">
      <c r="A157" s="2" t="s">
        <v>436</v>
      </c>
      <c r="B157" s="2" t="s">
        <v>990</v>
      </c>
      <c r="C157" s="2" t="s">
        <v>990</v>
      </c>
    </row>
    <row r="158" spans="1:3" x14ac:dyDescent="0.25">
      <c r="A158" s="2" t="s">
        <v>438</v>
      </c>
      <c r="B158" s="2" t="s">
        <v>991</v>
      </c>
      <c r="C158" s="2" t="s">
        <v>991</v>
      </c>
    </row>
    <row r="159" spans="1:3" x14ac:dyDescent="0.25">
      <c r="A159" s="2" t="s">
        <v>440</v>
      </c>
      <c r="B159" s="2" t="s">
        <v>992</v>
      </c>
      <c r="C159" s="2" t="s">
        <v>993</v>
      </c>
    </row>
    <row r="160" spans="1:3" x14ac:dyDescent="0.25">
      <c r="A160" s="2" t="s">
        <v>442</v>
      </c>
      <c r="B160" s="2" t="s">
        <v>994</v>
      </c>
      <c r="C160" s="2" t="s">
        <v>994</v>
      </c>
    </row>
    <row r="161" spans="1:3" x14ac:dyDescent="0.25">
      <c r="A161" s="2" t="s">
        <v>91</v>
      </c>
      <c r="B161" s="2" t="s">
        <v>92</v>
      </c>
      <c r="C161" s="2" t="s">
        <v>92</v>
      </c>
    </row>
    <row r="162" spans="1:3" x14ac:dyDescent="0.25">
      <c r="A162" s="2" t="s">
        <v>447</v>
      </c>
      <c r="B162" s="2" t="s">
        <v>995</v>
      </c>
      <c r="C162" s="2" t="s">
        <v>995</v>
      </c>
    </row>
    <row r="163" spans="1:3" x14ac:dyDescent="0.25">
      <c r="A163" s="2" t="s">
        <v>448</v>
      </c>
      <c r="B163" s="2" t="s">
        <v>996</v>
      </c>
      <c r="C163" s="2" t="s">
        <v>996</v>
      </c>
    </row>
    <row r="164" spans="1:3" x14ac:dyDescent="0.25">
      <c r="A164" s="2" t="s">
        <v>449</v>
      </c>
      <c r="B164" s="2" t="s">
        <v>997</v>
      </c>
      <c r="C164" s="2" t="s">
        <v>997</v>
      </c>
    </row>
    <row r="165" spans="1:3" x14ac:dyDescent="0.25">
      <c r="A165" s="2" t="s">
        <v>450</v>
      </c>
      <c r="B165" s="2" t="s">
        <v>998</v>
      </c>
      <c r="C165" s="2" t="s">
        <v>998</v>
      </c>
    </row>
    <row r="166" spans="1:3" x14ac:dyDescent="0.25">
      <c r="A166" s="2" t="s">
        <v>451</v>
      </c>
      <c r="B166" s="2" t="s">
        <v>999</v>
      </c>
      <c r="C166" s="2" t="s">
        <v>999</v>
      </c>
    </row>
    <row r="167" spans="1:3" x14ac:dyDescent="0.25">
      <c r="A167" s="2" t="s">
        <v>452</v>
      </c>
      <c r="B167" s="2" t="s">
        <v>1000</v>
      </c>
      <c r="C167" s="2" t="s">
        <v>1001</v>
      </c>
    </row>
    <row r="168" spans="1:3" x14ac:dyDescent="0.25">
      <c r="A168" s="2" t="s">
        <v>453</v>
      </c>
      <c r="B168" s="2" t="s">
        <v>1002</v>
      </c>
      <c r="C168" s="2" t="s">
        <v>1002</v>
      </c>
    </row>
    <row r="169" spans="1:3" x14ac:dyDescent="0.25">
      <c r="A169" s="2" t="s">
        <v>455</v>
      </c>
      <c r="B169" s="2" t="s">
        <v>1003</v>
      </c>
      <c r="C169" s="2" t="s">
        <v>1003</v>
      </c>
    </row>
    <row r="170" spans="1:3" x14ac:dyDescent="0.25">
      <c r="A170" s="2" t="s">
        <v>456</v>
      </c>
      <c r="B170" s="2" t="s">
        <v>1004</v>
      </c>
      <c r="C170" s="2" t="s">
        <v>1004</v>
      </c>
    </row>
    <row r="171" spans="1:3" x14ac:dyDescent="0.25">
      <c r="A171" s="2" t="s">
        <v>458</v>
      </c>
      <c r="B171" s="2" t="s">
        <v>1005</v>
      </c>
      <c r="C171" s="2" t="s">
        <v>1005</v>
      </c>
    </row>
    <row r="172" spans="1:3" x14ac:dyDescent="0.25">
      <c r="A172" s="2" t="s">
        <v>459</v>
      </c>
      <c r="B172" s="2" t="s">
        <v>1006</v>
      </c>
      <c r="C172" s="2" t="s">
        <v>1006</v>
      </c>
    </row>
    <row r="173" spans="1:3" x14ac:dyDescent="0.25">
      <c r="A173" s="2" t="s">
        <v>461</v>
      </c>
      <c r="B173" s="2" t="s">
        <v>1007</v>
      </c>
      <c r="C173" s="2" t="s">
        <v>1007</v>
      </c>
    </row>
    <row r="174" spans="1:3" x14ac:dyDescent="0.25">
      <c r="A174" s="2" t="s">
        <v>462</v>
      </c>
      <c r="B174" s="2" t="s">
        <v>1000</v>
      </c>
      <c r="C174" s="2" t="s">
        <v>1008</v>
      </c>
    </row>
    <row r="175" spans="1:3" x14ac:dyDescent="0.25">
      <c r="A175" s="2" t="s">
        <v>464</v>
      </c>
      <c r="B175" s="2" t="s">
        <v>1009</v>
      </c>
      <c r="C175" s="2" t="s">
        <v>1009</v>
      </c>
    </row>
    <row r="176" spans="1:3" x14ac:dyDescent="0.25">
      <c r="A176" s="2" t="s">
        <v>466</v>
      </c>
      <c r="B176" s="2" t="s">
        <v>1010</v>
      </c>
      <c r="C176" s="2" t="s">
        <v>1010</v>
      </c>
    </row>
    <row r="177" spans="1:3" x14ac:dyDescent="0.25">
      <c r="A177" s="2" t="s">
        <v>468</v>
      </c>
      <c r="B177" s="2" t="s">
        <v>1011</v>
      </c>
      <c r="C177" s="2" t="s">
        <v>1011</v>
      </c>
    </row>
    <row r="178" spans="1:3" x14ac:dyDescent="0.25">
      <c r="A178" s="2" t="s">
        <v>469</v>
      </c>
      <c r="B178" s="2" t="s">
        <v>1012</v>
      </c>
      <c r="C178" s="2" t="s">
        <v>1012</v>
      </c>
    </row>
    <row r="179" spans="1:3" x14ac:dyDescent="0.25">
      <c r="A179" s="2" t="s">
        <v>471</v>
      </c>
      <c r="B179" s="2" t="s">
        <v>1013</v>
      </c>
      <c r="C179" s="2" t="s">
        <v>1013</v>
      </c>
    </row>
    <row r="180" spans="1:3" x14ac:dyDescent="0.25">
      <c r="A180" s="2" t="s">
        <v>473</v>
      </c>
      <c r="B180" s="2" t="s">
        <v>1014</v>
      </c>
      <c r="C180" s="2" t="s">
        <v>1014</v>
      </c>
    </row>
    <row r="181" spans="1:3" x14ac:dyDescent="0.25">
      <c r="A181" s="2" t="s">
        <v>474</v>
      </c>
      <c r="B181" s="2" t="s">
        <v>1015</v>
      </c>
      <c r="C181" s="2" t="s">
        <v>1015</v>
      </c>
    </row>
    <row r="182" spans="1:3" x14ac:dyDescent="0.25">
      <c r="A182" s="2" t="s">
        <v>475</v>
      </c>
      <c r="B182" s="2" t="s">
        <v>1016</v>
      </c>
      <c r="C182" s="2" t="s">
        <v>1016</v>
      </c>
    </row>
    <row r="183" spans="1:3" x14ac:dyDescent="0.25">
      <c r="A183" s="2" t="s">
        <v>477</v>
      </c>
      <c r="B183" s="2" t="s">
        <v>1017</v>
      </c>
      <c r="C183" s="2" t="s">
        <v>1017</v>
      </c>
    </row>
    <row r="184" spans="1:3" x14ac:dyDescent="0.25">
      <c r="A184" s="2" t="s">
        <v>478</v>
      </c>
      <c r="B184" s="2" t="s">
        <v>1018</v>
      </c>
      <c r="C184" s="2" t="s">
        <v>1018</v>
      </c>
    </row>
    <row r="185" spans="1:3" x14ac:dyDescent="0.25">
      <c r="A185" s="2" t="s">
        <v>479</v>
      </c>
      <c r="B185" s="2" t="s">
        <v>1019</v>
      </c>
      <c r="C185" s="2" t="s">
        <v>1020</v>
      </c>
    </row>
    <row r="186" spans="1:3" x14ac:dyDescent="0.25">
      <c r="A186" s="2" t="s">
        <v>481</v>
      </c>
      <c r="B186" s="2" t="s">
        <v>1021</v>
      </c>
      <c r="C186" s="2" t="s">
        <v>1022</v>
      </c>
    </row>
    <row r="187" spans="1:3" x14ac:dyDescent="0.25">
      <c r="A187" s="2" t="s">
        <v>484</v>
      </c>
      <c r="B187" s="2" t="s">
        <v>948</v>
      </c>
      <c r="C187" s="2" t="s">
        <v>948</v>
      </c>
    </row>
    <row r="188" spans="1:3" x14ac:dyDescent="0.25">
      <c r="A188" s="2" t="s">
        <v>486</v>
      </c>
      <c r="B188" s="2" t="s">
        <v>1023</v>
      </c>
      <c r="C188" s="2" t="s">
        <v>808</v>
      </c>
    </row>
    <row r="189" spans="1:3" x14ac:dyDescent="0.25">
      <c r="A189" s="2" t="s">
        <v>488</v>
      </c>
      <c r="B189" s="2" t="s">
        <v>1024</v>
      </c>
      <c r="C189" s="2" t="s">
        <v>1025</v>
      </c>
    </row>
    <row r="190" spans="1:3" x14ac:dyDescent="0.25">
      <c r="A190" s="2" t="s">
        <v>489</v>
      </c>
      <c r="B190" s="2" t="s">
        <v>1026</v>
      </c>
      <c r="C190" s="2" t="s">
        <v>1026</v>
      </c>
    </row>
    <row r="191" spans="1:3" x14ac:dyDescent="0.25">
      <c r="A191" s="2" t="s">
        <v>491</v>
      </c>
      <c r="B191" s="2" t="s">
        <v>1027</v>
      </c>
      <c r="C191" s="2" t="s">
        <v>1028</v>
      </c>
    </row>
    <row r="192" spans="1:3" x14ac:dyDescent="0.25">
      <c r="A192" s="2" t="s">
        <v>493</v>
      </c>
      <c r="B192" s="2" t="s">
        <v>893</v>
      </c>
      <c r="C192" s="2" t="s">
        <v>1029</v>
      </c>
    </row>
    <row r="193" spans="1:3" x14ac:dyDescent="0.25">
      <c r="A193" s="2" t="s">
        <v>499</v>
      </c>
      <c r="B193" s="2" t="s">
        <v>1030</v>
      </c>
      <c r="C193" s="2" t="s">
        <v>1030</v>
      </c>
    </row>
    <row r="194" spans="1:3" x14ac:dyDescent="0.25">
      <c r="A194" s="2" t="s">
        <v>500</v>
      </c>
      <c r="B194" s="2" t="s">
        <v>1031</v>
      </c>
      <c r="C194" s="2" t="s">
        <v>1031</v>
      </c>
    </row>
    <row r="195" spans="1:3" x14ac:dyDescent="0.25">
      <c r="A195" s="2" t="s">
        <v>503</v>
      </c>
      <c r="B195" s="2" t="s">
        <v>1032</v>
      </c>
      <c r="C195" s="2" t="s">
        <v>1032</v>
      </c>
    </row>
    <row r="196" spans="1:3" x14ac:dyDescent="0.25">
      <c r="A196" s="2" t="s">
        <v>512</v>
      </c>
      <c r="B196" s="2" t="s">
        <v>1033</v>
      </c>
      <c r="C196" s="2" t="s">
        <v>946</v>
      </c>
    </row>
    <row r="197" spans="1:3" x14ac:dyDescent="0.25">
      <c r="A197" s="2" t="s">
        <v>513</v>
      </c>
      <c r="B197" s="2" t="s">
        <v>1034</v>
      </c>
      <c r="C197" s="2" t="s">
        <v>1035</v>
      </c>
    </row>
    <row r="198" spans="1:3" x14ac:dyDescent="0.25">
      <c r="A198" s="2" t="s">
        <v>514</v>
      </c>
      <c r="B198" s="2" t="s">
        <v>1036</v>
      </c>
      <c r="C198" s="2" t="s">
        <v>1036</v>
      </c>
    </row>
    <row r="199" spans="1:3" x14ac:dyDescent="0.25">
      <c r="A199" s="2" t="s">
        <v>516</v>
      </c>
      <c r="B199" s="2" t="s">
        <v>1037</v>
      </c>
      <c r="C199" s="2" t="s">
        <v>850</v>
      </c>
    </row>
    <row r="200" spans="1:3" ht="27.6" customHeight="1" x14ac:dyDescent="0.25">
      <c r="A200" s="2" t="s">
        <v>517</v>
      </c>
      <c r="B200" s="2" t="s">
        <v>1038</v>
      </c>
      <c r="C200" s="2" t="s">
        <v>28</v>
      </c>
    </row>
    <row r="201" spans="1:3" x14ac:dyDescent="0.25">
      <c r="A201" s="2" t="s">
        <v>519</v>
      </c>
      <c r="B201" s="2" t="s">
        <v>41</v>
      </c>
      <c r="C201" s="2" t="s">
        <v>988</v>
      </c>
    </row>
    <row r="202" spans="1:3" x14ac:dyDescent="0.25">
      <c r="A202" s="2" t="s">
        <v>521</v>
      </c>
      <c r="B202" s="2" t="s">
        <v>1039</v>
      </c>
      <c r="C202" s="2" t="s">
        <v>1040</v>
      </c>
    </row>
    <row r="203" spans="1:3" x14ac:dyDescent="0.25">
      <c r="A203" s="2" t="s">
        <v>94</v>
      </c>
      <c r="B203" s="2" t="s">
        <v>95</v>
      </c>
      <c r="C203" s="2" t="s">
        <v>37</v>
      </c>
    </row>
    <row r="204" spans="1:3" x14ac:dyDescent="0.25">
      <c r="A204" s="2" t="s">
        <v>524</v>
      </c>
      <c r="B204" s="2" t="s">
        <v>1041</v>
      </c>
      <c r="C204" s="2" t="s">
        <v>1042</v>
      </c>
    </row>
    <row r="205" spans="1:3" x14ac:dyDescent="0.25">
      <c r="A205" s="2" t="s">
        <v>525</v>
      </c>
      <c r="B205" s="2" t="s">
        <v>1043</v>
      </c>
      <c r="C205" s="2" t="s">
        <v>1043</v>
      </c>
    </row>
    <row r="206" spans="1:3" x14ac:dyDescent="0.25">
      <c r="A206" s="2" t="s">
        <v>526</v>
      </c>
      <c r="B206" s="2" t="s">
        <v>1044</v>
      </c>
      <c r="C206" s="2" t="s">
        <v>1044</v>
      </c>
    </row>
    <row r="207" spans="1:3" x14ac:dyDescent="0.25">
      <c r="A207" s="2" t="s">
        <v>527</v>
      </c>
      <c r="B207" s="2" t="s">
        <v>1045</v>
      </c>
      <c r="C207" s="2" t="s">
        <v>86</v>
      </c>
    </row>
    <row r="208" spans="1:3" x14ac:dyDescent="0.25">
      <c r="A208" s="2" t="s">
        <v>529</v>
      </c>
      <c r="B208" s="2" t="s">
        <v>1046</v>
      </c>
      <c r="C208" s="2" t="s">
        <v>1047</v>
      </c>
    </row>
    <row r="209" spans="1:3" x14ac:dyDescent="0.25">
      <c r="A209" s="2" t="s">
        <v>532</v>
      </c>
      <c r="B209" s="2" t="s">
        <v>1048</v>
      </c>
      <c r="C209" s="2" t="s">
        <v>28</v>
      </c>
    </row>
    <row r="210" spans="1:3" x14ac:dyDescent="0.25">
      <c r="A210" s="2" t="s">
        <v>536</v>
      </c>
      <c r="B210" s="2" t="s">
        <v>43</v>
      </c>
      <c r="C210" s="2" t="s">
        <v>889</v>
      </c>
    </row>
    <row r="211" spans="1:3" x14ac:dyDescent="0.25">
      <c r="A211" s="2" t="s">
        <v>538</v>
      </c>
      <c r="B211" s="2" t="s">
        <v>889</v>
      </c>
      <c r="C211" s="2" t="s">
        <v>889</v>
      </c>
    </row>
    <row r="212" spans="1:3" x14ac:dyDescent="0.25">
      <c r="A212" s="2" t="s">
        <v>540</v>
      </c>
      <c r="B212" s="2" t="s">
        <v>1049</v>
      </c>
      <c r="C212" s="2" t="s">
        <v>28</v>
      </c>
    </row>
    <row r="213" spans="1:3" x14ac:dyDescent="0.25">
      <c r="A213" s="2" t="s">
        <v>542</v>
      </c>
      <c r="B213" s="2" t="s">
        <v>1050</v>
      </c>
      <c r="C213" s="2" t="s">
        <v>1051</v>
      </c>
    </row>
    <row r="214" spans="1:3" x14ac:dyDescent="0.25">
      <c r="A214" s="2" t="s">
        <v>550</v>
      </c>
      <c r="B214" s="2" t="s">
        <v>1052</v>
      </c>
      <c r="C214" s="2" t="s">
        <v>1053</v>
      </c>
    </row>
    <row r="215" spans="1:3" x14ac:dyDescent="0.25">
      <c r="A215" s="2" t="s">
        <v>553</v>
      </c>
      <c r="B215" s="2" t="s">
        <v>44</v>
      </c>
      <c r="C215" s="2" t="s">
        <v>889</v>
      </c>
    </row>
    <row r="216" spans="1:3" x14ac:dyDescent="0.25">
      <c r="A216" s="2" t="s">
        <v>555</v>
      </c>
      <c r="B216" s="2" t="s">
        <v>1054</v>
      </c>
      <c r="C216" s="2" t="s">
        <v>1055</v>
      </c>
    </row>
    <row r="217" spans="1:3" x14ac:dyDescent="0.25">
      <c r="A217" s="2" t="s">
        <v>557</v>
      </c>
      <c r="B217" s="2" t="s">
        <v>1056</v>
      </c>
      <c r="C217" s="2" t="s">
        <v>1056</v>
      </c>
    </row>
    <row r="218" spans="1:3" x14ac:dyDescent="0.25">
      <c r="A218" s="2" t="s">
        <v>560</v>
      </c>
      <c r="B218" s="2" t="s">
        <v>1057</v>
      </c>
      <c r="C218" s="2" t="s">
        <v>1057</v>
      </c>
    </row>
    <row r="219" spans="1:3" x14ac:dyDescent="0.25">
      <c r="A219" s="2" t="s">
        <v>562</v>
      </c>
      <c r="B219" s="2" t="s">
        <v>893</v>
      </c>
      <c r="C219" s="2" t="s">
        <v>99</v>
      </c>
    </row>
    <row r="220" spans="1:3" x14ac:dyDescent="0.25">
      <c r="A220" s="2" t="s">
        <v>563</v>
      </c>
      <c r="B220" s="2" t="s">
        <v>1058</v>
      </c>
      <c r="C220" s="2" t="s">
        <v>99</v>
      </c>
    </row>
    <row r="221" spans="1:3" x14ac:dyDescent="0.25">
      <c r="A221" s="2" t="s">
        <v>572</v>
      </c>
      <c r="B221" s="2" t="s">
        <v>1059</v>
      </c>
      <c r="C221" s="2" t="s">
        <v>1059</v>
      </c>
    </row>
    <row r="222" spans="1:3" x14ac:dyDescent="0.25">
      <c r="A222" s="2" t="s">
        <v>573</v>
      </c>
      <c r="B222" s="2" t="s">
        <v>1060</v>
      </c>
      <c r="C222" s="2" t="s">
        <v>1060</v>
      </c>
    </row>
    <row r="223" spans="1:3" x14ac:dyDescent="0.25">
      <c r="A223" s="2" t="s">
        <v>578</v>
      </c>
      <c r="B223" s="2" t="s">
        <v>1061</v>
      </c>
      <c r="C223" s="2" t="s">
        <v>1061</v>
      </c>
    </row>
    <row r="224" spans="1:3" x14ac:dyDescent="0.25">
      <c r="A224" s="2" t="s">
        <v>579</v>
      </c>
      <c r="B224" s="2" t="s">
        <v>1062</v>
      </c>
      <c r="C224" s="2" t="s">
        <v>1062</v>
      </c>
    </row>
    <row r="225" spans="1:3" x14ac:dyDescent="0.25">
      <c r="A225" s="2" t="s">
        <v>581</v>
      </c>
      <c r="B225" s="2" t="s">
        <v>1063</v>
      </c>
      <c r="C225" s="2" t="s">
        <v>1064</v>
      </c>
    </row>
    <row r="226" spans="1:3" x14ac:dyDescent="0.25">
      <c r="A226" s="2" t="s">
        <v>585</v>
      </c>
      <c r="B226" s="2" t="s">
        <v>1065</v>
      </c>
      <c r="C226" s="2" t="s">
        <v>1065</v>
      </c>
    </row>
    <row r="227" spans="1:3" x14ac:dyDescent="0.25">
      <c r="A227" s="2" t="s">
        <v>587</v>
      </c>
      <c r="B227" s="2" t="s">
        <v>1066</v>
      </c>
      <c r="C227" s="2" t="s">
        <v>31</v>
      </c>
    </row>
    <row r="228" spans="1:3" x14ac:dyDescent="0.25">
      <c r="A228" s="2" t="s">
        <v>592</v>
      </c>
      <c r="B228" s="2" t="s">
        <v>1067</v>
      </c>
      <c r="C228" s="2" t="s">
        <v>44</v>
      </c>
    </row>
    <row r="229" spans="1:3" x14ac:dyDescent="0.25">
      <c r="A229" s="2" t="s">
        <v>594</v>
      </c>
      <c r="B229" s="2" t="s">
        <v>1068</v>
      </c>
      <c r="C229" s="2" t="s">
        <v>1068</v>
      </c>
    </row>
    <row r="230" spans="1:3" x14ac:dyDescent="0.25">
      <c r="A230" s="2" t="s">
        <v>596</v>
      </c>
      <c r="B230" s="2" t="s">
        <v>1069</v>
      </c>
      <c r="C230" s="2" t="s">
        <v>86</v>
      </c>
    </row>
    <row r="231" spans="1:3" x14ac:dyDescent="0.25">
      <c r="A231" s="2" t="s">
        <v>602</v>
      </c>
      <c r="B231" s="2" t="s">
        <v>1070</v>
      </c>
      <c r="C231" s="2" t="s">
        <v>1070</v>
      </c>
    </row>
    <row r="232" spans="1:3" x14ac:dyDescent="0.25">
      <c r="A232" s="2" t="s">
        <v>604</v>
      </c>
      <c r="B232" s="2" t="s">
        <v>1071</v>
      </c>
      <c r="C232" s="2" t="s">
        <v>1071</v>
      </c>
    </row>
    <row r="233" spans="1:3" x14ac:dyDescent="0.25">
      <c r="A233" s="2" t="s">
        <v>606</v>
      </c>
      <c r="B233" s="2" t="s">
        <v>1072</v>
      </c>
      <c r="C233" s="2" t="s">
        <v>1072</v>
      </c>
    </row>
    <row r="234" spans="1:3" x14ac:dyDescent="0.25">
      <c r="A234" s="2" t="s">
        <v>608</v>
      </c>
      <c r="B234" s="2" t="s">
        <v>1073</v>
      </c>
      <c r="C234" s="2" t="s">
        <v>86</v>
      </c>
    </row>
    <row r="235" spans="1:3" x14ac:dyDescent="0.25">
      <c r="A235" s="2" t="s">
        <v>611</v>
      </c>
      <c r="B235" s="2" t="s">
        <v>1074</v>
      </c>
      <c r="C235" s="2" t="s">
        <v>1074</v>
      </c>
    </row>
    <row r="236" spans="1:3" x14ac:dyDescent="0.25">
      <c r="A236" s="2" t="s">
        <v>618</v>
      </c>
      <c r="B236" s="2" t="s">
        <v>1075</v>
      </c>
      <c r="C236" s="2" t="s">
        <v>1075</v>
      </c>
    </row>
    <row r="237" spans="1:3" x14ac:dyDescent="0.25">
      <c r="A237" s="2" t="s">
        <v>628</v>
      </c>
      <c r="B237" s="2" t="s">
        <v>1076</v>
      </c>
      <c r="C237" s="2" t="s">
        <v>75</v>
      </c>
    </row>
    <row r="238" spans="1:3" x14ac:dyDescent="0.25">
      <c r="A238" s="2" t="s">
        <v>631</v>
      </c>
      <c r="B238" s="2" t="s">
        <v>1077</v>
      </c>
      <c r="C238" s="2" t="s">
        <v>1077</v>
      </c>
    </row>
    <row r="239" spans="1:3" x14ac:dyDescent="0.25">
      <c r="A239" s="2" t="s">
        <v>632</v>
      </c>
      <c r="B239" s="2" t="s">
        <v>1078</v>
      </c>
      <c r="C239" s="2" t="s">
        <v>1078</v>
      </c>
    </row>
    <row r="240" spans="1:3" x14ac:dyDescent="0.25">
      <c r="A240" s="2" t="s">
        <v>634</v>
      </c>
      <c r="B240" s="2" t="s">
        <v>1079</v>
      </c>
      <c r="C240" s="2" t="s">
        <v>1079</v>
      </c>
    </row>
    <row r="241" spans="1:3" x14ac:dyDescent="0.25">
      <c r="A241" s="2" t="s">
        <v>636</v>
      </c>
      <c r="B241" s="2" t="s">
        <v>46</v>
      </c>
      <c r="C241" s="2" t="s">
        <v>1080</v>
      </c>
    </row>
    <row r="242" spans="1:3" x14ac:dyDescent="0.25">
      <c r="A242" s="2" t="s">
        <v>637</v>
      </c>
      <c r="B242" s="2" t="s">
        <v>1081</v>
      </c>
      <c r="C242" s="2" t="s">
        <v>1064</v>
      </c>
    </row>
    <row r="243" spans="1:3" x14ac:dyDescent="0.25">
      <c r="A243" s="2" t="s">
        <v>639</v>
      </c>
      <c r="B243" s="2" t="s">
        <v>1082</v>
      </c>
      <c r="C243" s="2" t="s">
        <v>988</v>
      </c>
    </row>
    <row r="244" spans="1:3" x14ac:dyDescent="0.25">
      <c r="A244" s="2" t="s">
        <v>644</v>
      </c>
      <c r="B244" s="2" t="s">
        <v>1083</v>
      </c>
      <c r="C244" s="2" t="s">
        <v>1083</v>
      </c>
    </row>
    <row r="245" spans="1:3" x14ac:dyDescent="0.25">
      <c r="A245" s="2" t="s">
        <v>647</v>
      </c>
      <c r="B245" s="2" t="s">
        <v>1084</v>
      </c>
      <c r="C245" s="2" t="s">
        <v>1084</v>
      </c>
    </row>
    <row r="246" spans="1:3" x14ac:dyDescent="0.25">
      <c r="A246" s="2" t="s">
        <v>651</v>
      </c>
      <c r="B246" s="2" t="s">
        <v>1085</v>
      </c>
      <c r="C246" s="2" t="s">
        <v>1086</v>
      </c>
    </row>
    <row r="247" spans="1:3" x14ac:dyDescent="0.25">
      <c r="A247" s="2" t="s">
        <v>653</v>
      </c>
      <c r="B247" s="2" t="s">
        <v>46</v>
      </c>
      <c r="C247" s="2" t="s">
        <v>1087</v>
      </c>
    </row>
    <row r="248" spans="1:3" x14ac:dyDescent="0.25">
      <c r="A248" s="2" t="s">
        <v>656</v>
      </c>
      <c r="B248" s="2" t="s">
        <v>1088</v>
      </c>
      <c r="C248" s="2" t="s">
        <v>28</v>
      </c>
    </row>
    <row r="249" spans="1:3" x14ac:dyDescent="0.25">
      <c r="A249" s="2" t="s">
        <v>658</v>
      </c>
      <c r="B249" s="2" t="s">
        <v>1089</v>
      </c>
      <c r="C249" s="2" t="s">
        <v>1064</v>
      </c>
    </row>
    <row r="250" spans="1:3" x14ac:dyDescent="0.25">
      <c r="A250" s="2" t="s">
        <v>661</v>
      </c>
      <c r="B250" s="2" t="s">
        <v>938</v>
      </c>
      <c r="C250" s="2" t="s">
        <v>1090</v>
      </c>
    </row>
    <row r="251" spans="1:3" x14ac:dyDescent="0.25">
      <c r="A251" s="2" t="s">
        <v>663</v>
      </c>
      <c r="B251" s="2" t="s">
        <v>1091</v>
      </c>
      <c r="C251" s="2" t="s">
        <v>1091</v>
      </c>
    </row>
    <row r="252" spans="1:3" x14ac:dyDescent="0.25">
      <c r="A252" s="2" t="s">
        <v>669</v>
      </c>
      <c r="B252" s="2" t="s">
        <v>1092</v>
      </c>
      <c r="C252" s="2" t="s">
        <v>1093</v>
      </c>
    </row>
    <row r="253" spans="1:3" x14ac:dyDescent="0.25">
      <c r="A253" s="2" t="s">
        <v>674</v>
      </c>
      <c r="B253" s="2" t="s">
        <v>1094</v>
      </c>
      <c r="C253" s="2" t="s">
        <v>1094</v>
      </c>
    </row>
    <row r="254" spans="1:3" x14ac:dyDescent="0.25">
      <c r="A254" s="2" t="s">
        <v>676</v>
      </c>
      <c r="B254" s="2" t="s">
        <v>71</v>
      </c>
      <c r="C254" s="2" t="s">
        <v>1095</v>
      </c>
    </row>
    <row r="255" spans="1:3" x14ac:dyDescent="0.25">
      <c r="A255" s="2" t="s">
        <v>680</v>
      </c>
      <c r="B255" s="2" t="s">
        <v>1096</v>
      </c>
      <c r="C255" s="2" t="s">
        <v>28</v>
      </c>
    </row>
    <row r="256" spans="1:3" x14ac:dyDescent="0.25">
      <c r="A256" s="2" t="s">
        <v>687</v>
      </c>
      <c r="B256" s="2" t="s">
        <v>1097</v>
      </c>
      <c r="C256" s="2" t="s">
        <v>28</v>
      </c>
    </row>
    <row r="257" spans="1:3" x14ac:dyDescent="0.25">
      <c r="A257" s="2" t="s">
        <v>688</v>
      </c>
      <c r="B257" s="2" t="s">
        <v>1098</v>
      </c>
      <c r="C257" s="2" t="s">
        <v>1098</v>
      </c>
    </row>
    <row r="258" spans="1:3" x14ac:dyDescent="0.25">
      <c r="A258" s="2" t="s">
        <v>690</v>
      </c>
      <c r="B258" s="2" t="s">
        <v>1099</v>
      </c>
      <c r="C258" s="2" t="s">
        <v>850</v>
      </c>
    </row>
    <row r="259" spans="1:3" x14ac:dyDescent="0.25">
      <c r="A259" s="2" t="s">
        <v>691</v>
      </c>
      <c r="B259" s="2" t="s">
        <v>1100</v>
      </c>
      <c r="C259" s="2" t="s">
        <v>83</v>
      </c>
    </row>
    <row r="260" spans="1:3" x14ac:dyDescent="0.25">
      <c r="A260" s="2" t="s">
        <v>693</v>
      </c>
      <c r="B260" s="2" t="s">
        <v>1101</v>
      </c>
      <c r="C260" s="2" t="s">
        <v>47</v>
      </c>
    </row>
    <row r="261" spans="1:3" x14ac:dyDescent="0.25">
      <c r="A261" s="2" t="s">
        <v>695</v>
      </c>
      <c r="B261" s="2" t="s">
        <v>1102</v>
      </c>
      <c r="C261" s="2" t="s">
        <v>946</v>
      </c>
    </row>
    <row r="262" spans="1:3" x14ac:dyDescent="0.25">
      <c r="A262" s="2" t="s">
        <v>698</v>
      </c>
      <c r="B262" s="2" t="s">
        <v>1103</v>
      </c>
      <c r="C262" s="2" t="s">
        <v>946</v>
      </c>
    </row>
    <row r="263" spans="1:3" x14ac:dyDescent="0.25">
      <c r="A263" s="2" t="s">
        <v>699</v>
      </c>
      <c r="B263" s="2" t="s">
        <v>1104</v>
      </c>
      <c r="C263" s="2" t="s">
        <v>946</v>
      </c>
    </row>
    <row r="264" spans="1:3" x14ac:dyDescent="0.25">
      <c r="A264" s="2" t="s">
        <v>702</v>
      </c>
      <c r="B264" s="2" t="s">
        <v>1105</v>
      </c>
      <c r="C264" s="2" t="s">
        <v>1106</v>
      </c>
    </row>
    <row r="265" spans="1:3" x14ac:dyDescent="0.25">
      <c r="A265" s="2" t="s">
        <v>704</v>
      </c>
      <c r="B265" s="2" t="s">
        <v>1107</v>
      </c>
      <c r="C265" s="2" t="s">
        <v>99</v>
      </c>
    </row>
    <row r="266" spans="1:3" x14ac:dyDescent="0.25">
      <c r="A266" s="2" t="s">
        <v>97</v>
      </c>
      <c r="B266" s="2" t="s">
        <v>98</v>
      </c>
      <c r="C266" s="2" t="s">
        <v>99</v>
      </c>
    </row>
    <row r="267" spans="1:3" x14ac:dyDescent="0.25">
      <c r="A267" s="2" t="s">
        <v>707</v>
      </c>
      <c r="B267" s="2" t="s">
        <v>1108</v>
      </c>
      <c r="C267" s="2" t="s">
        <v>99</v>
      </c>
    </row>
    <row r="268" spans="1:3" x14ac:dyDescent="0.25">
      <c r="A268" s="2" t="s">
        <v>101</v>
      </c>
      <c r="B268" s="2" t="s">
        <v>102</v>
      </c>
      <c r="C268" s="2" t="s">
        <v>99</v>
      </c>
    </row>
    <row r="269" spans="1:3" x14ac:dyDescent="0.25">
      <c r="A269" s="2" t="s">
        <v>708</v>
      </c>
      <c r="B269" s="2" t="s">
        <v>1109</v>
      </c>
      <c r="C269" s="2" t="s">
        <v>938</v>
      </c>
    </row>
    <row r="270" spans="1:3" x14ac:dyDescent="0.25">
      <c r="A270" s="2" t="s">
        <v>710</v>
      </c>
      <c r="B270" s="2" t="s">
        <v>1110</v>
      </c>
      <c r="C270" s="2" t="s">
        <v>938</v>
      </c>
    </row>
    <row r="271" spans="1:3" x14ac:dyDescent="0.25">
      <c r="A271" s="2" t="s">
        <v>711</v>
      </c>
      <c r="B271" s="2" t="s">
        <v>1090</v>
      </c>
      <c r="C271" s="2" t="s">
        <v>938</v>
      </c>
    </row>
    <row r="272" spans="1:3" x14ac:dyDescent="0.25">
      <c r="A272" s="2" t="s">
        <v>712</v>
      </c>
      <c r="B272" s="2" t="s">
        <v>1111</v>
      </c>
      <c r="C272" s="2" t="s">
        <v>938</v>
      </c>
    </row>
    <row r="273" spans="1:3" x14ac:dyDescent="0.25">
      <c r="A273" s="2" t="s">
        <v>713</v>
      </c>
      <c r="B273" s="2" t="s">
        <v>1112</v>
      </c>
      <c r="C273" s="2" t="s">
        <v>1113</v>
      </c>
    </row>
    <row r="274" spans="1:3" x14ac:dyDescent="0.25">
      <c r="A274" s="2" t="s">
        <v>714</v>
      </c>
      <c r="B274" s="2" t="s">
        <v>1114</v>
      </c>
      <c r="C274" s="2" t="s">
        <v>941</v>
      </c>
    </row>
    <row r="275" spans="1:3" x14ac:dyDescent="0.25">
      <c r="A275" s="2" t="s">
        <v>721</v>
      </c>
      <c r="B275" s="2" t="s">
        <v>1115</v>
      </c>
      <c r="C275" s="2" t="s">
        <v>946</v>
      </c>
    </row>
    <row r="276" spans="1:3" x14ac:dyDescent="0.25">
      <c r="A276" s="2" t="s">
        <v>724</v>
      </c>
      <c r="B276" s="2" t="s">
        <v>1116</v>
      </c>
      <c r="C276" s="2" t="s">
        <v>1117</v>
      </c>
    </row>
    <row r="277" spans="1:3" x14ac:dyDescent="0.25">
      <c r="A277" s="2" t="s">
        <v>725</v>
      </c>
      <c r="B277" s="2" t="s">
        <v>1118</v>
      </c>
      <c r="C277" s="2" t="s">
        <v>37</v>
      </c>
    </row>
    <row r="278" spans="1:3" x14ac:dyDescent="0.25">
      <c r="A278" s="2" t="s">
        <v>727</v>
      </c>
      <c r="B278" s="2" t="s">
        <v>1119</v>
      </c>
      <c r="C278" s="2" t="s">
        <v>37</v>
      </c>
    </row>
    <row r="279" spans="1:3" x14ac:dyDescent="0.25">
      <c r="A279" s="2" t="s">
        <v>728</v>
      </c>
      <c r="B279" s="2" t="s">
        <v>1120</v>
      </c>
      <c r="C279" s="2" t="s">
        <v>99</v>
      </c>
    </row>
    <row r="280" spans="1:3" x14ac:dyDescent="0.25">
      <c r="A280" s="2" t="s">
        <v>730</v>
      </c>
      <c r="B280" s="2" t="s">
        <v>1121</v>
      </c>
      <c r="C280" s="2" t="s">
        <v>1122</v>
      </c>
    </row>
    <row r="281" spans="1:3" x14ac:dyDescent="0.25">
      <c r="A281" s="2" t="s">
        <v>732</v>
      </c>
      <c r="B281" s="2" t="s">
        <v>1123</v>
      </c>
      <c r="C281" s="2" t="s">
        <v>938</v>
      </c>
    </row>
    <row r="282" spans="1:3" x14ac:dyDescent="0.25">
      <c r="A282" s="2" t="s">
        <v>733</v>
      </c>
      <c r="B282" s="2" t="s">
        <v>1124</v>
      </c>
      <c r="C282" s="2" t="s">
        <v>938</v>
      </c>
    </row>
    <row r="283" spans="1:3" x14ac:dyDescent="0.25">
      <c r="A283" s="2" t="s">
        <v>735</v>
      </c>
      <c r="B283" s="2" t="s">
        <v>1125</v>
      </c>
      <c r="C283" s="2" t="s">
        <v>938</v>
      </c>
    </row>
    <row r="284" spans="1:3" x14ac:dyDescent="0.25">
      <c r="A284" s="2" t="s">
        <v>736</v>
      </c>
      <c r="B284" s="2" t="s">
        <v>1126</v>
      </c>
      <c r="C284" s="2" t="s">
        <v>1127</v>
      </c>
    </row>
    <row r="285" spans="1:3" x14ac:dyDescent="0.25">
      <c r="A285" s="2" t="s">
        <v>737</v>
      </c>
      <c r="B285" s="2" t="s">
        <v>1128</v>
      </c>
      <c r="C285" s="2" t="s">
        <v>1128</v>
      </c>
    </row>
    <row r="286" spans="1:3" x14ac:dyDescent="0.25">
      <c r="A286" s="2" t="s">
        <v>739</v>
      </c>
      <c r="B286" s="2" t="s">
        <v>1129</v>
      </c>
      <c r="C286" s="2" t="s">
        <v>1130</v>
      </c>
    </row>
    <row r="287" spans="1:3" x14ac:dyDescent="0.25">
      <c r="A287" s="2" t="s">
        <v>740</v>
      </c>
      <c r="B287" s="2" t="s">
        <v>1131</v>
      </c>
      <c r="C287" s="2" t="s">
        <v>1132</v>
      </c>
    </row>
    <row r="288" spans="1:3" x14ac:dyDescent="0.25">
      <c r="A288" s="2" t="s">
        <v>742</v>
      </c>
      <c r="B288" s="2" t="s">
        <v>1133</v>
      </c>
      <c r="C288" s="2" t="s">
        <v>1134</v>
      </c>
    </row>
    <row r="289" spans="1:3" x14ac:dyDescent="0.25">
      <c r="A289" s="2" t="s">
        <v>743</v>
      </c>
      <c r="B289" s="2" t="s">
        <v>1135</v>
      </c>
      <c r="C289" s="2" t="s">
        <v>1136</v>
      </c>
    </row>
    <row r="290" spans="1:3" x14ac:dyDescent="0.25">
      <c r="A290" s="2" t="s">
        <v>744</v>
      </c>
      <c r="B290" s="2" t="s">
        <v>1137</v>
      </c>
      <c r="C290" s="2" t="s">
        <v>1138</v>
      </c>
    </row>
    <row r="291" spans="1:3" x14ac:dyDescent="0.25">
      <c r="A291" s="2" t="s">
        <v>745</v>
      </c>
      <c r="B291" s="2" t="s">
        <v>1139</v>
      </c>
      <c r="C291" s="2" t="s">
        <v>1113</v>
      </c>
    </row>
    <row r="292" spans="1:3" x14ac:dyDescent="0.25">
      <c r="A292" s="2" t="s">
        <v>746</v>
      </c>
      <c r="B292" s="2" t="s">
        <v>1140</v>
      </c>
      <c r="C292" s="2" t="s">
        <v>1141</v>
      </c>
    </row>
    <row r="293" spans="1:3" x14ac:dyDescent="0.25">
      <c r="A293" s="2" t="s">
        <v>747</v>
      </c>
      <c r="B293" s="2" t="s">
        <v>1142</v>
      </c>
      <c r="C293" s="2" t="s">
        <v>1141</v>
      </c>
    </row>
    <row r="294" spans="1:3" x14ac:dyDescent="0.25">
      <c r="A294" s="2" t="s">
        <v>748</v>
      </c>
      <c r="B294" s="2" t="s">
        <v>1143</v>
      </c>
      <c r="C294" s="2" t="s">
        <v>1144</v>
      </c>
    </row>
    <row r="295" spans="1:3" x14ac:dyDescent="0.25">
      <c r="A295" s="2" t="s">
        <v>749</v>
      </c>
      <c r="B295" s="2" t="s">
        <v>1145</v>
      </c>
      <c r="C295" s="2" t="s">
        <v>1146</v>
      </c>
    </row>
    <row r="296" spans="1:3" x14ac:dyDescent="0.25">
      <c r="A296" s="2" t="s">
        <v>750</v>
      </c>
      <c r="B296" s="2" t="s">
        <v>1147</v>
      </c>
      <c r="C296" s="2" t="s">
        <v>1148</v>
      </c>
    </row>
    <row r="297" spans="1:3" x14ac:dyDescent="0.25">
      <c r="A297" s="2" t="s">
        <v>751</v>
      </c>
      <c r="B297" s="2" t="s">
        <v>1149</v>
      </c>
      <c r="C297" s="2" t="s">
        <v>1150</v>
      </c>
    </row>
    <row r="298" spans="1:3" x14ac:dyDescent="0.25">
      <c r="A298" s="2" t="s">
        <v>752</v>
      </c>
      <c r="B298" s="2" t="s">
        <v>1151</v>
      </c>
      <c r="C298" s="2" t="s">
        <v>1152</v>
      </c>
    </row>
    <row r="299" spans="1:3" x14ac:dyDescent="0.25">
      <c r="A299" s="2" t="s">
        <v>753</v>
      </c>
      <c r="B299" s="2" t="s">
        <v>1153</v>
      </c>
      <c r="C299" s="2" t="s">
        <v>1154</v>
      </c>
    </row>
    <row r="300" spans="1:3" x14ac:dyDescent="0.25">
      <c r="A300" s="2" t="s">
        <v>754</v>
      </c>
      <c r="B300" s="2" t="s">
        <v>1155</v>
      </c>
      <c r="C300" s="2" t="s">
        <v>1156</v>
      </c>
    </row>
    <row r="301" spans="1:3" x14ac:dyDescent="0.25">
      <c r="A301" s="2" t="s">
        <v>755</v>
      </c>
      <c r="B301" s="2" t="s">
        <v>1157</v>
      </c>
      <c r="C301" s="2" t="s">
        <v>1158</v>
      </c>
    </row>
    <row r="302" spans="1:3" x14ac:dyDescent="0.25">
      <c r="A302" s="2" t="s">
        <v>756</v>
      </c>
      <c r="B302" s="2" t="s">
        <v>1159</v>
      </c>
      <c r="C302" s="2" t="s">
        <v>1160</v>
      </c>
    </row>
    <row r="303" spans="1:3" x14ac:dyDescent="0.25">
      <c r="A303" s="2" t="s">
        <v>757</v>
      </c>
      <c r="B303" s="2" t="s">
        <v>1161</v>
      </c>
      <c r="C303" s="2" t="s">
        <v>1162</v>
      </c>
    </row>
    <row r="304" spans="1:3" x14ac:dyDescent="0.25">
      <c r="A304" s="2" t="s">
        <v>758</v>
      </c>
      <c r="B304" s="2" t="s">
        <v>1163</v>
      </c>
      <c r="C304" s="2" t="s">
        <v>99</v>
      </c>
    </row>
    <row r="305" spans="1:3" x14ac:dyDescent="0.25">
      <c r="A305" s="2" t="s">
        <v>759</v>
      </c>
      <c r="B305" s="2" t="s">
        <v>1164</v>
      </c>
      <c r="C305" s="2" t="s">
        <v>1165</v>
      </c>
    </row>
    <row r="306" spans="1:3" x14ac:dyDescent="0.25">
      <c r="A306" s="2" t="s">
        <v>760</v>
      </c>
      <c r="B306" s="2" t="s">
        <v>1166</v>
      </c>
      <c r="C306" s="2" t="s">
        <v>1167</v>
      </c>
    </row>
    <row r="307" spans="1:3" x14ac:dyDescent="0.25">
      <c r="A307" s="2" t="s">
        <v>761</v>
      </c>
      <c r="B307" s="2" t="s">
        <v>1168</v>
      </c>
      <c r="C307" s="2" t="s">
        <v>1169</v>
      </c>
    </row>
    <row r="308" spans="1:3" x14ac:dyDescent="0.25">
      <c r="A308" s="2" t="s">
        <v>762</v>
      </c>
      <c r="B308" s="2" t="s">
        <v>1170</v>
      </c>
      <c r="C308" s="2" t="s">
        <v>1171</v>
      </c>
    </row>
    <row r="309" spans="1:3" x14ac:dyDescent="0.25">
      <c r="A309" s="2" t="s">
        <v>763</v>
      </c>
      <c r="B309" s="2" t="s">
        <v>1172</v>
      </c>
      <c r="C309" s="2" t="s">
        <v>1062</v>
      </c>
    </row>
    <row r="310" spans="1:3" x14ac:dyDescent="0.25">
      <c r="A310" s="2" t="s">
        <v>764</v>
      </c>
      <c r="B310" s="2" t="s">
        <v>1173</v>
      </c>
      <c r="C310" s="2" t="s">
        <v>1174</v>
      </c>
    </row>
    <row r="311" spans="1:3" x14ac:dyDescent="0.25">
      <c r="A311" s="2" t="s">
        <v>766</v>
      </c>
      <c r="B311" s="2" t="s">
        <v>981</v>
      </c>
      <c r="C311" s="2" t="s">
        <v>22</v>
      </c>
    </row>
    <row r="312" spans="1:3" x14ac:dyDescent="0.25">
      <c r="A312" s="2" t="s">
        <v>767</v>
      </c>
      <c r="B312" s="2" t="s">
        <v>1175</v>
      </c>
      <c r="C312" s="2" t="s">
        <v>1175</v>
      </c>
    </row>
    <row r="313" spans="1:3" x14ac:dyDescent="0.25">
      <c r="A313" s="2" t="s">
        <v>768</v>
      </c>
      <c r="B313" s="2" t="s">
        <v>1176</v>
      </c>
      <c r="C313" s="2" t="s">
        <v>1176</v>
      </c>
    </row>
    <row r="314" spans="1:3" x14ac:dyDescent="0.25">
      <c r="A314" s="2" t="s">
        <v>769</v>
      </c>
      <c r="B314" s="2" t="s">
        <v>1177</v>
      </c>
      <c r="C314" s="2" t="s">
        <v>1177</v>
      </c>
    </row>
    <row r="315" spans="1:3" x14ac:dyDescent="0.25">
      <c r="A315" s="2" t="s">
        <v>770</v>
      </c>
      <c r="B315" s="2" t="s">
        <v>1178</v>
      </c>
      <c r="C315" s="2" t="s">
        <v>1178</v>
      </c>
    </row>
    <row r="316" spans="1:3" x14ac:dyDescent="0.25">
      <c r="A316" s="2" t="s">
        <v>771</v>
      </c>
      <c r="B316" s="2" t="s">
        <v>1179</v>
      </c>
      <c r="C316" s="2" t="s">
        <v>1179</v>
      </c>
    </row>
    <row r="317" spans="1:3" x14ac:dyDescent="0.25">
      <c r="A317" s="2" t="s">
        <v>772</v>
      </c>
      <c r="B317" s="2" t="s">
        <v>1180</v>
      </c>
      <c r="C317" s="2" t="s">
        <v>1180</v>
      </c>
    </row>
    <row r="318" spans="1:3" x14ac:dyDescent="0.25">
      <c r="A318" s="2" t="s">
        <v>773</v>
      </c>
      <c r="B318" s="2" t="s">
        <v>1181</v>
      </c>
      <c r="C318" s="2" t="s">
        <v>1181</v>
      </c>
    </row>
    <row r="319" spans="1:3" x14ac:dyDescent="0.25">
      <c r="A319" s="2" t="s">
        <v>774</v>
      </c>
      <c r="B319" s="2" t="s">
        <v>1182</v>
      </c>
      <c r="C319" s="2" t="s">
        <v>1182</v>
      </c>
    </row>
    <row r="320" spans="1:3" x14ac:dyDescent="0.25">
      <c r="A320" s="2" t="s">
        <v>775</v>
      </c>
      <c r="B320" s="2" t="s">
        <v>1183</v>
      </c>
      <c r="C320" s="2" t="s">
        <v>1184</v>
      </c>
    </row>
    <row r="321" spans="1:3" x14ac:dyDescent="0.25">
      <c r="A321" s="2" t="s">
        <v>776</v>
      </c>
      <c r="B321" s="2" t="s">
        <v>1185</v>
      </c>
      <c r="C321" s="2" t="s">
        <v>1185</v>
      </c>
    </row>
    <row r="322" spans="1:3" x14ac:dyDescent="0.25">
      <c r="A322" s="2" t="s">
        <v>777</v>
      </c>
      <c r="B322" s="2" t="s">
        <v>1186</v>
      </c>
      <c r="C322" s="2" t="s">
        <v>1187</v>
      </c>
    </row>
    <row r="323" spans="1:3" x14ac:dyDescent="0.25">
      <c r="A323" s="2" t="s">
        <v>778</v>
      </c>
      <c r="B323" s="2" t="s">
        <v>1188</v>
      </c>
      <c r="C323" s="2" t="s">
        <v>1188</v>
      </c>
    </row>
    <row r="324" spans="1:3" x14ac:dyDescent="0.25">
      <c r="A324" s="2" t="s">
        <v>779</v>
      </c>
      <c r="B324" s="2" t="s">
        <v>1189</v>
      </c>
      <c r="C324" s="2" t="s">
        <v>1189</v>
      </c>
    </row>
    <row r="325" spans="1:3" x14ac:dyDescent="0.25">
      <c r="A325" s="2" t="s">
        <v>780</v>
      </c>
      <c r="B325" s="2" t="s">
        <v>1190</v>
      </c>
      <c r="C325" s="2" t="s">
        <v>1190</v>
      </c>
    </row>
    <row r="326" spans="1:3" x14ac:dyDescent="0.25">
      <c r="A326" s="2" t="s">
        <v>781</v>
      </c>
      <c r="B326" s="2" t="s">
        <v>1191</v>
      </c>
      <c r="C326" s="2" t="s">
        <v>1191</v>
      </c>
    </row>
    <row r="327" spans="1:3" x14ac:dyDescent="0.25">
      <c r="A327" s="2" t="s">
        <v>782</v>
      </c>
      <c r="B327" s="2" t="s">
        <v>1192</v>
      </c>
      <c r="C327" s="2" t="s">
        <v>1192</v>
      </c>
    </row>
    <row r="328" spans="1:3" x14ac:dyDescent="0.25">
      <c r="A328" s="2" t="s">
        <v>783</v>
      </c>
      <c r="B328" s="2" t="s">
        <v>838</v>
      </c>
      <c r="C328" s="2" t="s">
        <v>1193</v>
      </c>
    </row>
    <row r="329" spans="1:3" x14ac:dyDescent="0.25">
      <c r="A329" s="2" t="s">
        <v>786</v>
      </c>
      <c r="B329" s="2" t="s">
        <v>818</v>
      </c>
      <c r="C329" s="2" t="s">
        <v>1194</v>
      </c>
    </row>
    <row r="330" spans="1:3" x14ac:dyDescent="0.25">
      <c r="A330" s="2" t="s">
        <v>788</v>
      </c>
      <c r="B330" s="2" t="s">
        <v>823</v>
      </c>
      <c r="C330" s="2" t="s">
        <v>1195</v>
      </c>
    </row>
    <row r="331" spans="1:3" x14ac:dyDescent="0.25">
      <c r="A331" s="2" t="s">
        <v>789</v>
      </c>
      <c r="B331" s="2" t="s">
        <v>820</v>
      </c>
      <c r="C331" s="2" t="s">
        <v>1196</v>
      </c>
    </row>
    <row r="332" spans="1:3" x14ac:dyDescent="0.25">
      <c r="A332" s="2" t="s">
        <v>790</v>
      </c>
      <c r="B332" s="2" t="s">
        <v>867</v>
      </c>
      <c r="C332" s="2" t="s">
        <v>867</v>
      </c>
    </row>
    <row r="333" spans="1:3" x14ac:dyDescent="0.25">
      <c r="A333" s="2" t="s">
        <v>791</v>
      </c>
      <c r="B333" s="2" t="s">
        <v>832</v>
      </c>
      <c r="C333" s="2" t="s">
        <v>1197</v>
      </c>
    </row>
    <row r="334" spans="1:3" ht="27.6" customHeight="1" x14ac:dyDescent="0.25">
      <c r="A334" s="2" t="s">
        <v>793</v>
      </c>
      <c r="B334" s="2" t="s">
        <v>49</v>
      </c>
      <c r="C334" s="2" t="s">
        <v>1198</v>
      </c>
    </row>
    <row r="335" spans="1:3" x14ac:dyDescent="0.25">
      <c r="A335" s="2" t="s">
        <v>799</v>
      </c>
      <c r="B335" s="2" t="s">
        <v>1199</v>
      </c>
      <c r="C335" s="2" t="s">
        <v>1199</v>
      </c>
    </row>
    <row r="336" spans="1:3" x14ac:dyDescent="0.25">
      <c r="A336" s="2" t="s">
        <v>801</v>
      </c>
      <c r="B336" s="2" t="s">
        <v>46</v>
      </c>
      <c r="C336" s="2" t="s">
        <v>1200</v>
      </c>
    </row>
    <row r="337" spans="1:3" x14ac:dyDescent="0.25">
      <c r="A337" s="2" t="s">
        <v>803</v>
      </c>
      <c r="B337" s="2" t="s">
        <v>1201</v>
      </c>
      <c r="C337" s="2" t="s">
        <v>1202</v>
      </c>
    </row>
    <row r="338" spans="1:3" x14ac:dyDescent="0.25">
      <c r="A338" s="2" t="s">
        <v>804</v>
      </c>
      <c r="B338" s="2" t="s">
        <v>1203</v>
      </c>
      <c r="C338" s="2" t="s">
        <v>22</v>
      </c>
    </row>
  </sheetData>
  <autoFilter ref="A1:C3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>
      <pane ySplit="1" topLeftCell="A64" activePane="bottomLeft" state="frozen"/>
      <selection pane="bottomLeft"/>
    </sheetView>
  </sheetViews>
  <sheetFormatPr defaultRowHeight="13.8" x14ac:dyDescent="0.25"/>
  <cols>
    <col min="1" max="1" width="39" customWidth="1"/>
    <col min="2" max="2" width="55" customWidth="1"/>
    <col min="3" max="3" width="20" customWidth="1"/>
  </cols>
  <sheetData>
    <row r="1" spans="1:3" ht="30" customHeight="1" x14ac:dyDescent="0.25">
      <c r="A1" s="1" t="s">
        <v>1204</v>
      </c>
      <c r="B1" s="1" t="s">
        <v>1205</v>
      </c>
      <c r="C1" s="1"/>
    </row>
    <row r="2" spans="1:3" x14ac:dyDescent="0.25">
      <c r="A2" s="2" t="s">
        <v>1206</v>
      </c>
      <c r="B2" s="2" t="s">
        <v>1207</v>
      </c>
      <c r="C2" s="2"/>
    </row>
    <row r="3" spans="1:3" x14ac:dyDescent="0.25">
      <c r="A3" s="2" t="s">
        <v>1208</v>
      </c>
      <c r="B3" s="2" t="s">
        <v>1209</v>
      </c>
      <c r="C3" s="2"/>
    </row>
    <row r="4" spans="1:3" x14ac:dyDescent="0.25">
      <c r="A4" s="2" t="s">
        <v>1210</v>
      </c>
      <c r="B4" s="2">
        <v>64</v>
      </c>
      <c r="C4" s="2"/>
    </row>
    <row r="5" spans="1:3" x14ac:dyDescent="0.25">
      <c r="A5" s="2" t="s">
        <v>1211</v>
      </c>
      <c r="B5" s="2">
        <v>661</v>
      </c>
      <c r="C5" s="2"/>
    </row>
    <row r="6" spans="1:3" x14ac:dyDescent="0.25">
      <c r="A6" s="2" t="s">
        <v>1212</v>
      </c>
      <c r="B6" s="2">
        <v>337</v>
      </c>
      <c r="C6" s="2"/>
    </row>
    <row r="7" spans="1:3" x14ac:dyDescent="0.25">
      <c r="A7" s="2" t="s">
        <v>1213</v>
      </c>
      <c r="B7" s="2">
        <v>64</v>
      </c>
      <c r="C7" s="2"/>
    </row>
    <row r="8" spans="1:3" x14ac:dyDescent="0.25">
      <c r="A8" s="2"/>
      <c r="B8" s="2"/>
      <c r="C8" s="2"/>
    </row>
    <row r="9" spans="1:3" x14ac:dyDescent="0.25">
      <c r="A9" s="2" t="s">
        <v>1214</v>
      </c>
      <c r="B9" s="2" t="s">
        <v>103</v>
      </c>
      <c r="C9" s="2" t="s">
        <v>1215</v>
      </c>
    </row>
    <row r="10" spans="1:3" x14ac:dyDescent="0.25">
      <c r="A10" s="2" t="s">
        <v>1216</v>
      </c>
      <c r="B10" s="2" t="s">
        <v>106</v>
      </c>
      <c r="C10" s="2">
        <v>6</v>
      </c>
    </row>
    <row r="11" spans="1:3" x14ac:dyDescent="0.25">
      <c r="A11" s="2" t="s">
        <v>1217</v>
      </c>
      <c r="B11" s="2" t="s">
        <v>120</v>
      </c>
      <c r="C11" s="2">
        <v>14</v>
      </c>
    </row>
    <row r="12" spans="1:3" x14ac:dyDescent="0.25">
      <c r="A12" s="2" t="s">
        <v>1218</v>
      </c>
      <c r="B12" s="2" t="s">
        <v>52</v>
      </c>
      <c r="C12" s="2">
        <v>29</v>
      </c>
    </row>
    <row r="13" spans="1:3" x14ac:dyDescent="0.25">
      <c r="A13" s="2" t="s">
        <v>1219</v>
      </c>
      <c r="B13" s="2" t="s">
        <v>56</v>
      </c>
      <c r="C13" s="2">
        <v>13</v>
      </c>
    </row>
    <row r="14" spans="1:3" x14ac:dyDescent="0.25">
      <c r="A14" s="2" t="s">
        <v>1220</v>
      </c>
      <c r="B14" s="2" t="s">
        <v>205</v>
      </c>
      <c r="C14" s="2">
        <v>10</v>
      </c>
    </row>
    <row r="15" spans="1:3" x14ac:dyDescent="0.25">
      <c r="A15" s="2" t="s">
        <v>1221</v>
      </c>
      <c r="B15" s="2" t="s">
        <v>29</v>
      </c>
      <c r="C15" s="2">
        <v>12</v>
      </c>
    </row>
    <row r="16" spans="1:3" x14ac:dyDescent="0.25">
      <c r="A16" s="2" t="s">
        <v>1222</v>
      </c>
      <c r="B16" s="2" t="s">
        <v>240</v>
      </c>
      <c r="C16" s="2">
        <v>14</v>
      </c>
    </row>
    <row r="17" spans="1:3" x14ac:dyDescent="0.25">
      <c r="A17" s="2" t="s">
        <v>1223</v>
      </c>
      <c r="B17" s="2" t="s">
        <v>24</v>
      </c>
      <c r="C17" s="2">
        <v>10</v>
      </c>
    </row>
    <row r="18" spans="1:3" x14ac:dyDescent="0.25">
      <c r="A18" s="2" t="s">
        <v>1224</v>
      </c>
      <c r="B18" s="2" t="s">
        <v>257</v>
      </c>
      <c r="C18" s="2">
        <v>13</v>
      </c>
    </row>
    <row r="19" spans="1:3" x14ac:dyDescent="0.25">
      <c r="A19" s="2" t="s">
        <v>1225</v>
      </c>
      <c r="B19" s="2" t="s">
        <v>267</v>
      </c>
      <c r="C19" s="2">
        <v>6</v>
      </c>
    </row>
    <row r="20" spans="1:3" x14ac:dyDescent="0.25">
      <c r="A20" s="2" t="s">
        <v>1226</v>
      </c>
      <c r="B20" s="2" t="s">
        <v>269</v>
      </c>
      <c r="C20" s="2">
        <v>7</v>
      </c>
    </row>
    <row r="21" spans="1:3" x14ac:dyDescent="0.25">
      <c r="A21" s="2" t="s">
        <v>1227</v>
      </c>
      <c r="B21" s="2" t="s">
        <v>271</v>
      </c>
      <c r="C21" s="2">
        <v>13</v>
      </c>
    </row>
    <row r="22" spans="1:3" x14ac:dyDescent="0.25">
      <c r="A22" s="2" t="s">
        <v>1228</v>
      </c>
      <c r="B22" s="2" t="s">
        <v>76</v>
      </c>
      <c r="C22" s="2">
        <v>14</v>
      </c>
    </row>
    <row r="23" spans="1:3" x14ac:dyDescent="0.25">
      <c r="A23" s="2" t="s">
        <v>1229</v>
      </c>
      <c r="B23" s="2" t="s">
        <v>281</v>
      </c>
      <c r="C23" s="2">
        <v>11</v>
      </c>
    </row>
    <row r="24" spans="1:3" x14ac:dyDescent="0.25">
      <c r="A24" s="2" t="s">
        <v>1230</v>
      </c>
      <c r="B24" s="2" t="s">
        <v>84</v>
      </c>
      <c r="C24" s="2">
        <v>18</v>
      </c>
    </row>
    <row r="25" spans="1:3" x14ac:dyDescent="0.25">
      <c r="A25" s="2" t="s">
        <v>1231</v>
      </c>
      <c r="B25" s="2" t="s">
        <v>325</v>
      </c>
      <c r="C25" s="2">
        <v>8</v>
      </c>
    </row>
    <row r="26" spans="1:3" x14ac:dyDescent="0.25">
      <c r="A26" s="2" t="s">
        <v>1232</v>
      </c>
      <c r="B26" s="2" t="s">
        <v>66</v>
      </c>
      <c r="C26" s="2">
        <v>6</v>
      </c>
    </row>
    <row r="27" spans="1:3" x14ac:dyDescent="0.25">
      <c r="A27" s="2" t="s">
        <v>1233</v>
      </c>
      <c r="B27" s="2" t="s">
        <v>90</v>
      </c>
      <c r="C27" s="2">
        <v>3</v>
      </c>
    </row>
    <row r="28" spans="1:3" x14ac:dyDescent="0.25">
      <c r="A28" s="2" t="s">
        <v>1234</v>
      </c>
      <c r="B28" s="2" t="s">
        <v>72</v>
      </c>
      <c r="C28" s="2">
        <v>4</v>
      </c>
    </row>
    <row r="29" spans="1:3" x14ac:dyDescent="0.25">
      <c r="A29" s="2" t="s">
        <v>1235</v>
      </c>
      <c r="B29" s="2" t="s">
        <v>89</v>
      </c>
      <c r="C29" s="2">
        <v>13</v>
      </c>
    </row>
    <row r="30" spans="1:3" x14ac:dyDescent="0.25">
      <c r="A30" s="2" t="s">
        <v>1236</v>
      </c>
      <c r="B30" s="2" t="s">
        <v>374</v>
      </c>
      <c r="C30" s="2">
        <v>30</v>
      </c>
    </row>
    <row r="31" spans="1:3" x14ac:dyDescent="0.25">
      <c r="A31" s="2" t="s">
        <v>1237</v>
      </c>
      <c r="B31" s="2" t="s">
        <v>51</v>
      </c>
      <c r="C31" s="2">
        <v>41</v>
      </c>
    </row>
    <row r="32" spans="1:3" x14ac:dyDescent="0.25">
      <c r="A32" s="2" t="s">
        <v>1238</v>
      </c>
      <c r="B32" s="2" t="s">
        <v>39</v>
      </c>
      <c r="C32" s="2">
        <v>20</v>
      </c>
    </row>
    <row r="33" spans="1:3" x14ac:dyDescent="0.25">
      <c r="A33" s="2" t="s">
        <v>1239</v>
      </c>
      <c r="B33" s="2" t="s">
        <v>507</v>
      </c>
      <c r="C33" s="2">
        <v>10</v>
      </c>
    </row>
    <row r="34" spans="1:3" x14ac:dyDescent="0.25">
      <c r="A34" s="2" t="s">
        <v>1240</v>
      </c>
      <c r="B34" s="2" t="s">
        <v>65</v>
      </c>
      <c r="C34" s="2">
        <v>15</v>
      </c>
    </row>
    <row r="35" spans="1:3" x14ac:dyDescent="0.25">
      <c r="A35" s="2" t="s">
        <v>1241</v>
      </c>
      <c r="B35" s="2" t="s">
        <v>25</v>
      </c>
      <c r="C35" s="2">
        <v>12</v>
      </c>
    </row>
    <row r="36" spans="1:3" x14ac:dyDescent="0.25">
      <c r="A36" s="2" t="s">
        <v>1242</v>
      </c>
      <c r="B36" s="2" t="s">
        <v>88</v>
      </c>
      <c r="C36" s="2">
        <v>16</v>
      </c>
    </row>
    <row r="37" spans="1:3" x14ac:dyDescent="0.25">
      <c r="A37" s="2" t="s">
        <v>1243</v>
      </c>
      <c r="B37" s="2" t="s">
        <v>62</v>
      </c>
      <c r="C37" s="2">
        <v>11</v>
      </c>
    </row>
    <row r="38" spans="1:3" x14ac:dyDescent="0.25">
      <c r="A38" s="2" t="s">
        <v>1244</v>
      </c>
      <c r="B38" s="2" t="s">
        <v>79</v>
      </c>
      <c r="C38" s="2">
        <v>10</v>
      </c>
    </row>
    <row r="39" spans="1:3" x14ac:dyDescent="0.25">
      <c r="A39" s="2" t="s">
        <v>1245</v>
      </c>
      <c r="B39" s="2" t="s">
        <v>568</v>
      </c>
      <c r="C39" s="2">
        <v>7</v>
      </c>
    </row>
    <row r="40" spans="1:3" x14ac:dyDescent="0.25">
      <c r="A40" s="2" t="s">
        <v>1246</v>
      </c>
      <c r="B40" s="2" t="s">
        <v>575</v>
      </c>
      <c r="C40" s="2">
        <v>15</v>
      </c>
    </row>
    <row r="41" spans="1:3" x14ac:dyDescent="0.25">
      <c r="A41" s="2" t="s">
        <v>1247</v>
      </c>
      <c r="B41" s="2" t="s">
        <v>586</v>
      </c>
      <c r="C41" s="2">
        <v>15</v>
      </c>
    </row>
    <row r="42" spans="1:3" x14ac:dyDescent="0.25">
      <c r="A42" s="2" t="s">
        <v>1248</v>
      </c>
      <c r="B42" s="2" t="s">
        <v>598</v>
      </c>
      <c r="C42" s="2">
        <v>9</v>
      </c>
    </row>
    <row r="43" spans="1:3" x14ac:dyDescent="0.25">
      <c r="A43" s="2" t="s">
        <v>1249</v>
      </c>
      <c r="B43" s="2" t="s">
        <v>601</v>
      </c>
      <c r="C43" s="2">
        <v>7</v>
      </c>
    </row>
    <row r="44" spans="1:3" x14ac:dyDescent="0.25">
      <c r="A44" s="2" t="s">
        <v>1250</v>
      </c>
      <c r="B44" s="2" t="s">
        <v>612</v>
      </c>
      <c r="C44" s="2">
        <v>6</v>
      </c>
    </row>
    <row r="45" spans="1:3" x14ac:dyDescent="0.25">
      <c r="A45" s="2" t="s">
        <v>1251</v>
      </c>
      <c r="B45" s="2" t="s">
        <v>615</v>
      </c>
      <c r="C45" s="2">
        <v>7</v>
      </c>
    </row>
    <row r="46" spans="1:3" x14ac:dyDescent="0.25">
      <c r="A46" s="2" t="s">
        <v>1252</v>
      </c>
      <c r="B46" s="2" t="s">
        <v>87</v>
      </c>
      <c r="C46" s="2">
        <v>6</v>
      </c>
    </row>
    <row r="47" spans="1:3" x14ac:dyDescent="0.25">
      <c r="A47" s="2" t="s">
        <v>1253</v>
      </c>
      <c r="B47" s="2" t="s">
        <v>623</v>
      </c>
      <c r="C47" s="2">
        <v>8</v>
      </c>
    </row>
    <row r="48" spans="1:3" x14ac:dyDescent="0.25">
      <c r="A48" s="2" t="s">
        <v>1254</v>
      </c>
      <c r="B48" s="2" t="s">
        <v>629</v>
      </c>
      <c r="C48" s="2">
        <v>4</v>
      </c>
    </row>
    <row r="49" spans="1:3" x14ac:dyDescent="0.25">
      <c r="A49" s="2" t="s">
        <v>1255</v>
      </c>
      <c r="B49" s="2" t="s">
        <v>635</v>
      </c>
      <c r="C49" s="2">
        <v>6</v>
      </c>
    </row>
    <row r="50" spans="1:3" x14ac:dyDescent="0.25">
      <c r="A50" s="2" t="s">
        <v>1256</v>
      </c>
      <c r="B50" s="2" t="s">
        <v>38</v>
      </c>
      <c r="C50" s="2">
        <v>11</v>
      </c>
    </row>
    <row r="51" spans="1:3" x14ac:dyDescent="0.25">
      <c r="A51" s="2" t="s">
        <v>1257</v>
      </c>
      <c r="B51" s="2" t="s">
        <v>646</v>
      </c>
      <c r="C51" s="2">
        <v>7</v>
      </c>
    </row>
    <row r="52" spans="1:3" x14ac:dyDescent="0.25">
      <c r="A52" s="2" t="s">
        <v>1258</v>
      </c>
      <c r="B52" s="2" t="s">
        <v>649</v>
      </c>
      <c r="C52" s="2">
        <v>8</v>
      </c>
    </row>
    <row r="53" spans="1:3" x14ac:dyDescent="0.25">
      <c r="A53" s="2" t="s">
        <v>1259</v>
      </c>
      <c r="B53" s="2" t="s">
        <v>655</v>
      </c>
      <c r="C53" s="2">
        <v>15</v>
      </c>
    </row>
    <row r="54" spans="1:3" x14ac:dyDescent="0.25">
      <c r="A54" s="2" t="s">
        <v>1260</v>
      </c>
      <c r="B54" s="2" t="s">
        <v>665</v>
      </c>
      <c r="C54" s="2">
        <v>2</v>
      </c>
    </row>
    <row r="55" spans="1:3" x14ac:dyDescent="0.25">
      <c r="A55" s="2" t="s">
        <v>1261</v>
      </c>
      <c r="B55" s="2" t="s">
        <v>666</v>
      </c>
      <c r="C55" s="2">
        <v>1</v>
      </c>
    </row>
    <row r="56" spans="1:3" x14ac:dyDescent="0.25">
      <c r="A56" s="2" t="s">
        <v>1262</v>
      </c>
      <c r="B56" s="2" t="s">
        <v>668</v>
      </c>
      <c r="C56" s="2">
        <v>2</v>
      </c>
    </row>
    <row r="57" spans="1:3" x14ac:dyDescent="0.25">
      <c r="A57" s="2" t="s">
        <v>1263</v>
      </c>
      <c r="B57" s="2" t="s">
        <v>671</v>
      </c>
      <c r="C57" s="2">
        <v>1</v>
      </c>
    </row>
    <row r="58" spans="1:3" x14ac:dyDescent="0.25">
      <c r="A58" s="2" t="s">
        <v>1264</v>
      </c>
      <c r="B58" s="2" t="s">
        <v>672</v>
      </c>
      <c r="C58" s="2">
        <v>1</v>
      </c>
    </row>
    <row r="59" spans="1:3" x14ac:dyDescent="0.25">
      <c r="A59" s="2" t="s">
        <v>1265</v>
      </c>
      <c r="B59" s="2" t="s">
        <v>673</v>
      </c>
      <c r="C59" s="2">
        <v>4</v>
      </c>
    </row>
    <row r="60" spans="1:3" x14ac:dyDescent="0.25">
      <c r="A60" s="2" t="s">
        <v>1266</v>
      </c>
      <c r="B60" s="2" t="s">
        <v>678</v>
      </c>
      <c r="C60" s="2">
        <v>1</v>
      </c>
    </row>
    <row r="61" spans="1:3" x14ac:dyDescent="0.25">
      <c r="A61" s="2" t="s">
        <v>1267</v>
      </c>
      <c r="B61" s="2" t="s">
        <v>679</v>
      </c>
      <c r="C61" s="2">
        <v>4</v>
      </c>
    </row>
    <row r="62" spans="1:3" x14ac:dyDescent="0.25">
      <c r="A62" s="2" t="s">
        <v>1268</v>
      </c>
      <c r="B62" s="2" t="s">
        <v>681</v>
      </c>
      <c r="C62" s="2">
        <v>1</v>
      </c>
    </row>
    <row r="63" spans="1:3" x14ac:dyDescent="0.25">
      <c r="A63" s="2" t="s">
        <v>1269</v>
      </c>
      <c r="B63" s="2" t="s">
        <v>682</v>
      </c>
      <c r="C63" s="2">
        <v>1</v>
      </c>
    </row>
    <row r="64" spans="1:3" x14ac:dyDescent="0.25">
      <c r="A64" s="2" t="s">
        <v>1270</v>
      </c>
      <c r="B64" s="2" t="s">
        <v>683</v>
      </c>
      <c r="C64" s="2">
        <v>1</v>
      </c>
    </row>
    <row r="65" spans="1:3" x14ac:dyDescent="0.25">
      <c r="A65" s="2" t="s">
        <v>1271</v>
      </c>
      <c r="B65" s="2" t="s">
        <v>684</v>
      </c>
      <c r="C65" s="2">
        <v>1</v>
      </c>
    </row>
    <row r="66" spans="1:3" x14ac:dyDescent="0.25">
      <c r="A66" s="2" t="s">
        <v>1272</v>
      </c>
      <c r="B66" s="2" t="s">
        <v>685</v>
      </c>
      <c r="C66" s="2">
        <v>1</v>
      </c>
    </row>
    <row r="67" spans="1:3" x14ac:dyDescent="0.25">
      <c r="A67" s="2" t="s">
        <v>1273</v>
      </c>
      <c r="B67" s="2" t="s">
        <v>686</v>
      </c>
      <c r="C67" s="2">
        <v>4</v>
      </c>
    </row>
    <row r="68" spans="1:3" x14ac:dyDescent="0.25">
      <c r="A68" s="2" t="s">
        <v>1274</v>
      </c>
      <c r="B68" s="2" t="s">
        <v>96</v>
      </c>
      <c r="C68" s="2">
        <v>27</v>
      </c>
    </row>
    <row r="69" spans="1:3" x14ac:dyDescent="0.25">
      <c r="A69" s="2" t="s">
        <v>1275</v>
      </c>
      <c r="B69" s="2" t="s">
        <v>718</v>
      </c>
      <c r="C69" s="2">
        <v>1</v>
      </c>
    </row>
    <row r="70" spans="1:3" x14ac:dyDescent="0.25">
      <c r="A70" s="2" t="s">
        <v>1276</v>
      </c>
      <c r="B70" s="2" t="s">
        <v>100</v>
      </c>
      <c r="C70" s="2">
        <v>69</v>
      </c>
    </row>
    <row r="71" spans="1:3" x14ac:dyDescent="0.25">
      <c r="A71" s="2" t="s">
        <v>1277</v>
      </c>
      <c r="B71" s="2" t="s">
        <v>52</v>
      </c>
      <c r="C71" s="2">
        <v>8</v>
      </c>
    </row>
    <row r="72" spans="1:3" x14ac:dyDescent="0.25">
      <c r="A72" s="2" t="s">
        <v>1278</v>
      </c>
      <c r="B72" s="2" t="s">
        <v>794</v>
      </c>
      <c r="C72" s="2">
        <v>5</v>
      </c>
    </row>
    <row r="73" spans="1:3" x14ac:dyDescent="0.25">
      <c r="A73" s="2" t="s">
        <v>1279</v>
      </c>
      <c r="B73" s="2" t="s">
        <v>93</v>
      </c>
      <c r="C73" s="2">
        <v>6</v>
      </c>
    </row>
  </sheetData>
  <autoFilter ref="A1:C7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รวมทุกแผนก</vt:lpstr>
      <vt:lpstr>รายการสาร</vt:lpstr>
      <vt:lpstr>สรุปการประมวลผล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Daranphop Yimyam</cp:lastModifiedBy>
  <dcterms:created xsi:type="dcterms:W3CDTF">2026-07-04T05:14:40Z</dcterms:created>
  <dcterms:modified xsi:type="dcterms:W3CDTF">2026-07-04T07:29:44Z</dcterms:modified>
</cp:coreProperties>
</file>